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1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5" activeTab="8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 -&gt;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Model Notes" sheetId="4" state="visible" r:id="rId4"/>
    <sheet xmlns:r="http://schemas.openxmlformats.org/officeDocument/2006/relationships" name="Dashboard -&gt;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Summary Charts" sheetId="7" state="visible" r:id="rId7"/>
    <sheet xmlns:r="http://schemas.openxmlformats.org/officeDocument/2006/relationships" name="Financials -&gt;" sheetId="8" state="visible" r:id="rId8"/>
    <sheet xmlns:r="http://schemas.openxmlformats.org/officeDocument/2006/relationships" name="Historical Financials" sheetId="9" state="visible" r:id="rId9"/>
    <sheet xmlns:r="http://schemas.openxmlformats.org/officeDocument/2006/relationships" name="Financial Model" sheetId="10" state="visible" r:id="rId10"/>
    <sheet xmlns:r="http://schemas.openxmlformats.org/officeDocument/2006/relationships" name="Drivers" sheetId="11" state="visible" r:id="rId11"/>
    <sheet xmlns:r="http://schemas.openxmlformats.org/officeDocument/2006/relationships" name="Multiples &amp; Ratios" sheetId="12" state="visible" r:id="rId12"/>
    <sheet xmlns:r="http://schemas.openxmlformats.org/officeDocument/2006/relationships" name="Valuation -&gt;" sheetId="13" state="visible" r:id="rId13"/>
    <sheet xmlns:r="http://schemas.openxmlformats.org/officeDocument/2006/relationships" name="DCF" sheetId="14" state="visible" r:id="rId14"/>
    <sheet xmlns:r="http://schemas.openxmlformats.org/officeDocument/2006/relationships" name="Comps" sheetId="15" state="visible" r:id="rId15"/>
    <sheet xmlns:r="http://schemas.openxmlformats.org/officeDocument/2006/relationships" name="LBO" sheetId="16" state="visible" r:id="rId16"/>
    <sheet xmlns:r="http://schemas.openxmlformats.org/officeDocument/2006/relationships" name="Source Data -&gt;" sheetId="17" state="visible" r:id="rId17"/>
    <sheet xmlns:r="http://schemas.openxmlformats.org/officeDocument/2006/relationships" name="PASTE IN SOURCE DATA HERE" sheetId="18" state="visible" r:id="rId18"/>
    <sheet xmlns:r="http://schemas.openxmlformats.org/officeDocument/2006/relationships" name="Support" sheetId="19" state="visible" r:id="rId19"/>
    <sheet xmlns:r="http://schemas.openxmlformats.org/officeDocument/2006/relationships" name="Sources" sheetId="20" state="visible" r:id="rId20"/>
  </sheets>
  <definedNames>
    <definedName name="Conversion_Rate">Assumptions!$G$8</definedName>
    <definedName name="MLNK191398364f7d405aa6da979aa2bccb52" hidden="1">'Financial Model'!$C$4:$M$42</definedName>
    <definedName name="MLNK1c4d0b6c088245b6a457c0fa79637b91" hidden="1">'Financial Model'!$C$47:$M$86</definedName>
    <definedName name="MLNK24bb620a312e4a4e859d0e047dd08567" hidden="1">DCF!$C$2:$P$24</definedName>
    <definedName name="MLNK2a0a60df5c4d4902adb8e5ef24146a50" hidden="1">DCF!$1:$1048576</definedName>
    <definedName name="MLNK4eda981c3f1b4ed38eebe1dd6f5838fe" hidden="1">'Financial Model'!$1:$1048576</definedName>
    <definedName name="MLNK508b2ef0436443bd9ec491acb1beccd1" hidden="1">'Financial Model'!$C$93:$M$136</definedName>
    <definedName name="MLNK54529661aa204a03b60ddb5b5c29c434" hidden="1">Summary!$C$4:$M$43</definedName>
    <definedName name="MLNK8268c950105e43468030c2c7b821dc8b" hidden="1">Summary!$1:$1048576</definedName>
    <definedName name="MLNKa591a33a56c4449ab08173736b011858" hidden="1">Summary!$X$4:$AD$25</definedName>
    <definedName name="MLNKa59c5af704da463da53fb98b549438bb" hidden="1">Summary!$AH$49:$AP$59</definedName>
    <definedName name="MLNKa608b692416247998f8f4169d2ac08f2" hidden="1">Summary!$C$2:$M$43</definedName>
    <definedName name="MLNKbd58d5dab3394092b231717513153cd3" hidden="1">Comps!$C$3:$P$42</definedName>
    <definedName name="MLNKca02c8762fa04f4e993f8c13be060590" hidden="1">Comps!$1:$1048576</definedName>
    <definedName name="MLNKe0546c699a544721be35e019c9246b8d" hidden="1">Summary!$X$3:$AD$24</definedName>
    <definedName name="MLNKe34bd10ef26549d282ce3ad07beeb5f4" hidden="1">Summary!$W$3:$AD$25</definedName>
    <definedName name="MLNKe885a8042b30481b835e1caa703d0973" hidden="1">Summary!$AH$49:$AP$64</definedName>
    <definedName name="MLNKe9251677bd324e0499c283d41b67cd36" hidden="1">Summary!$AH$49:$AP$59</definedName>
    <definedName name="MLNKfc765725f4964ce18842637b929224b1" hidden="1">'Financial Model'!$C$3:$M$42</definedName>
    <definedName name="_xlnm.Print_Area" localSheetId="2">'Assumptions'!$B$2:$H$10,'Assumptions'!$J$2:$R$16</definedName>
    <definedName name="_xlnm.Print_Area" localSheetId="3">'Model Notes'!$B$2:$L$17</definedName>
    <definedName name="_xlnm.Print_Area" localSheetId="5">'Summary'!$B$2:$U$44</definedName>
    <definedName name="_xlnm.Print_Area" localSheetId="6">'Summary Charts'!$B$2:$J$30,'Summary Charts'!$K$32:$V$49</definedName>
    <definedName name="_xlnm.Print_Area" localSheetId="8">'Historical Financials'!$B$2:$K$124</definedName>
    <definedName name="_xlnm.Print_Area" localSheetId="9">'Financial Model'!$B$2:$U$43,'Financial Model'!$B$45:$U$87,'Financial Model'!$B$91:$U$137</definedName>
    <definedName name="_xlnm.Print_Area" localSheetId="10">'Drivers'!$B$2:$V$184</definedName>
    <definedName name="MLNK191398364f7d405aa6da979aa2bccb52" localSheetId="11" hidden="1">'Multiples &amp; Ratios'!$C$4:$M$47</definedName>
    <definedName name="MLNK1c4d0b6c088245b6a457c0fa79637b91" localSheetId="11" hidden="1">'Multiples &amp; Ratios'!$C$81:$M$120</definedName>
    <definedName name="MLNK4eda981c3f1b4ed38eebe1dd6f5838fe" localSheetId="11" hidden="1">'Multiples &amp; Ratios'!$1:$1048576</definedName>
    <definedName name="MLNK508b2ef0436443bd9ec491acb1beccd1" localSheetId="11" hidden="1">'Multiples &amp; Ratios'!$C$127:$M$170</definedName>
    <definedName name="MLNKfc765725f4964ce18842637b929224b1" localSheetId="11" hidden="1">'Multiples &amp; Ratios'!$C$3:$M$47</definedName>
    <definedName name="_xlnm.Print_Area" localSheetId="11">'Multiples &amp; Ratios'!$B$2:$U$48</definedName>
    <definedName name="_xlnm.Print_Area" localSheetId="13">'DCF'!$B$2:$Q$25,'DCF'!$B$27:$Q$62</definedName>
    <definedName name="_xlnm.Print_Area" localSheetId="14">'Comps'!$B$2:$Q$42</definedName>
    <definedName name="_xlnm.Print_Area" localSheetId="15">'LBO'!$B$2:$U$37,'LBO'!$B$39:$U$85,'LBO'!$B$87:$U$130,'LBO'!$B$132:$U$148,'LBO'!$B$150:$U$167,'LBO'!$B$169:$U$193</definedName>
  </definedNames>
  <calcPr calcId="191029" fullCalcOnLoad="1" calcCompleted="0"/>
</workbook>
</file>

<file path=xl/styles.xml><?xml version="1.0" encoding="utf-8"?>
<styleSheet xmlns="http://schemas.openxmlformats.org/spreadsheetml/2006/main">
  <numFmts count="23">
    <numFmt numFmtId="164" formatCode="mm/dd/yy"/>
    <numFmt numFmtId="165" formatCode="0.0%_);&quot;(&quot;0.0%&quot;)&quot;;&quot;-&quot;_)"/>
    <numFmt numFmtId="166" formatCode="&quot;$&quot;#,##0_);&quot;(&quot;&quot;$&quot;#,##0&quot;)&quot;;&quot;-&quot;_)"/>
    <numFmt numFmtId="167" formatCode="#,##0.0%_);&quot;(&quot;#,##0.0%&quot;)&quot;;&quot;-&quot;_)"/>
    <numFmt numFmtId="168" formatCode="#,##0_);&quot;(&quot;#,##0&quot;)&quot;;&quot;-&quot;_)"/>
    <numFmt numFmtId="169" formatCode="#,##0.0\x_);&quot;(&quot;#,##0.0\x&quot;)&quot;;&quot;-&quot;_)"/>
    <numFmt numFmtId="170" formatCode="#,##0.00\x_);&quot;(&quot;#,##0.00\x&quot;)&quot;;&quot;-&quot;_)"/>
    <numFmt numFmtId="171" formatCode=";;;"/>
    <numFmt numFmtId="172" formatCode="#,##0.000_);&quot;(&quot;#,##0.000&quot;)&quot;;&quot;-&quot;_)"/>
    <numFmt numFmtId="173" formatCode="#,##0.0_);&quot;(&quot;#,##0.0&quot;)&quot;;&quot;-&quot;_)"/>
    <numFmt numFmtId="174" formatCode="&quot;$&quot;#,##0.0_);&quot;(&quot;&quot;$&quot;#,##0.0&quot;)&quot;;&quot;-&quot;_)"/>
    <numFmt numFmtId="175" formatCode="&quot;$&quot;#,##0.00_);&quot;(&quot;&quot;$&quot;#,##0.00&quot;)&quot;;&quot;-&quot;_)"/>
    <numFmt numFmtId="176" formatCode="&quot;$&quot;#,##0.0"/>
    <numFmt numFmtId="177" formatCode="0.0%;\(0.0%\);\-"/>
    <numFmt numFmtId="178" formatCode="0.000"/>
    <numFmt numFmtId="179" formatCode="$#,##0.00"/>
    <numFmt numFmtId="180" formatCode="0.0x"/>
    <numFmt numFmtId="181" formatCode="#,##0.0"/>
    <numFmt numFmtId="182" formatCode="$#,##0.00;($#,##0.00);-"/>
    <numFmt numFmtId="183" formatCode="0.0000"/>
    <numFmt numFmtId="184" formatCode="$#,##0.000;($#,##0.000);-"/>
    <numFmt numFmtId="185" formatCode="0.0"/>
    <numFmt numFmtId="186" formatCode="0.00x"/>
  </numFmts>
  <fonts count="71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0"/>
    </font>
    <font>
      <name val="Arial"/>
      <family val="2"/>
      <color rgb="FF0000FF"/>
      <sz val="10"/>
    </font>
    <font>
      <name val="Arial"/>
      <family val="2"/>
      <color theme="10"/>
      <sz val="10"/>
      <u val="single"/>
    </font>
    <font>
      <name val="Calibri"/>
      <family val="2"/>
      <color theme="10"/>
      <sz val="11"/>
      <u val="single"/>
      <scheme val="minor"/>
    </font>
    <font>
      <name val="Arial"/>
      <family val="2"/>
      <sz val="12"/>
    </font>
    <font>
      <name val="Arial"/>
      <family val="2"/>
      <color rgb="FF008000"/>
      <sz val="12"/>
    </font>
    <font>
      <name val="Arial"/>
      <family val="2"/>
      <color rgb="FF0000FF"/>
      <sz val="11"/>
    </font>
    <font>
      <name val="Arial"/>
      <family val="2"/>
      <sz val="11"/>
    </font>
    <font>
      <name val="Arial"/>
      <family val="2"/>
      <i val="1"/>
      <color rgb="FF000000"/>
      <sz val="11"/>
    </font>
    <font>
      <name val="Arial"/>
      <family val="2"/>
      <i val="1"/>
      <color rgb="FF0000FF"/>
      <sz val="11"/>
    </font>
    <font>
      <name val="Arial"/>
      <family val="2"/>
      <i val="1"/>
      <color theme="1"/>
      <sz val="11"/>
    </font>
    <font>
      <name val="Arial"/>
      <family val="2"/>
      <i val="1"/>
      <sz val="11"/>
    </font>
    <font>
      <name val="Arial"/>
      <family val="2"/>
      <i val="1"/>
      <color rgb="FF008000"/>
      <sz val="11"/>
    </font>
    <font>
      <name val="Arial"/>
      <family val="2"/>
      <b val="1"/>
      <color rgb="FF000000"/>
      <sz val="15"/>
    </font>
    <font>
      <name val="Arial"/>
      <family val="2"/>
      <color theme="1"/>
      <sz val="11"/>
    </font>
    <font>
      <name val="Arial"/>
      <family val="2"/>
      <color rgb="FF000000"/>
      <sz val="13"/>
    </font>
    <font>
      <name val="Arial"/>
      <family val="2"/>
      <color rgb="FF000000"/>
      <sz val="11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800080"/>
      <sz val="11"/>
    </font>
    <font>
      <name val="Arial"/>
      <family val="2"/>
      <b val="1"/>
      <color theme="0"/>
      <sz val="11"/>
    </font>
    <font>
      <name val="Arial"/>
      <family val="2"/>
      <sz val="8"/>
    </font>
    <font>
      <name val="Arial"/>
      <family val="2"/>
      <color rgb="FF008000"/>
      <sz val="8"/>
    </font>
    <font>
      <name val="Arial"/>
      <family val="2"/>
      <color rgb="FF000000"/>
      <sz val="11"/>
      <u val="singleAccounting"/>
    </font>
    <font>
      <name val="Arial"/>
      <family val="2"/>
      <i val="1"/>
      <color rgb="FF000000"/>
      <sz val="8"/>
    </font>
    <font>
      <name val="Arial"/>
      <family val="2"/>
      <b val="1"/>
      <color theme="1"/>
      <sz val="8"/>
    </font>
    <font>
      <name val="Arial"/>
      <family val="2"/>
      <i val="1"/>
      <sz val="8"/>
    </font>
    <font>
      <name val="Arial"/>
      <family val="2"/>
      <b val="1"/>
      <i val="1"/>
      <color theme="1"/>
      <sz val="8"/>
    </font>
    <font>
      <name val="Arial"/>
      <family val="2"/>
      <b val="1"/>
      <color theme="1"/>
      <sz val="11"/>
      <u val="single"/>
    </font>
    <font>
      <name val="Arial"/>
      <family val="2"/>
      <b val="1"/>
      <i val="1"/>
      <color theme="1"/>
      <sz val="11"/>
    </font>
    <font>
      <name val="Arial"/>
      <family val="2"/>
      <color rgb="FF000000"/>
      <sz val="11"/>
      <u val="single"/>
    </font>
    <font>
      <name val="Arial"/>
      <family val="2"/>
      <color rgb="FF000000"/>
      <sz val="8"/>
    </font>
    <font>
      <name val="Arial"/>
      <family val="2"/>
      <color rgb="FF008000"/>
      <sz val="10"/>
    </font>
    <font>
      <name val="Arial"/>
      <family val="2"/>
      <color rgb="FFFF0000"/>
      <sz val="11"/>
      <u val="singleAccounting"/>
    </font>
    <font>
      <name val="Arial"/>
      <family val="2"/>
      <color rgb="FF00FF00"/>
      <sz val="11"/>
      <u val="singleAccounting"/>
    </font>
    <font>
      <name val="Arial"/>
      <family val="2"/>
      <color rgb="FF0000FF"/>
      <sz val="11"/>
      <u val="singleAccounting"/>
    </font>
    <font>
      <name val="Arial"/>
      <family val="2"/>
      <color rgb="FF008000"/>
      <sz val="11"/>
    </font>
    <font>
      <name val="Arial"/>
      <family val="2"/>
      <color rgb="FFFF0000"/>
      <sz val="11"/>
    </font>
    <font>
      <name val="Arial"/>
      <family val="2"/>
      <color rgb="FF000000"/>
      <sz val="10"/>
    </font>
    <font>
      <name val="Arial"/>
      <family val="2"/>
      <b val="1"/>
      <color theme="0"/>
      <sz val="11"/>
      <u val="singleAccounting"/>
    </font>
    <font>
      <name val="Arial"/>
      <family val="2"/>
      <b val="1"/>
      <color rgb="FF008000"/>
      <sz val="11"/>
    </font>
    <font>
      <name val="Arial"/>
      <family val="2"/>
      <b val="1"/>
      <color rgb="FF0000FF"/>
      <sz val="11"/>
    </font>
    <font>
      <name val="Arial"/>
      <family val="2"/>
      <color theme="1"/>
      <sz val="11"/>
      <u val="single"/>
    </font>
    <font>
      <name val="Arial"/>
      <family val="2"/>
      <b val="1"/>
      <i val="1"/>
      <sz val="11"/>
      <u val="single"/>
    </font>
    <font>
      <name val="Arial"/>
      <family val="2"/>
      <b val="1"/>
      <sz val="11"/>
      <u val="singleAccounting"/>
    </font>
    <font>
      <name val="Arial"/>
      <family val="2"/>
      <sz val="10"/>
    </font>
    <font>
      <name val="Arial"/>
      <family val="2"/>
      <b val="1"/>
      <color rgb="FF16395B"/>
      <sz val="10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rial"/>
      <charset val="1"/>
      <color rgb="FF000000"/>
      <sz val="11"/>
    </font>
    <font>
      <name val="Arial"/>
      <family val="2"/>
      <i val="1"/>
      <sz val="10"/>
    </font>
    <font>
      <name val="Arial"/>
      <family val="2"/>
      <b val="1"/>
      <i val="1"/>
      <sz val="11"/>
    </font>
    <font>
      <name val="Arial"/>
      <family val="2"/>
      <b val="1"/>
      <color theme="1"/>
      <sz val="10"/>
    </font>
    <font>
      <name val="Arial"/>
      <family val="2"/>
      <b val="1"/>
      <i val="1"/>
      <color rgb="FF008000"/>
      <sz val="11"/>
    </font>
    <font>
      <name val="Arial"/>
      <family val="2"/>
      <b val="1"/>
      <color rgb="FF800080"/>
      <sz val="11"/>
    </font>
    <font>
      <name val="Arial"/>
      <family val="2"/>
      <color theme="0"/>
      <sz val="10"/>
    </font>
    <font>
      <name val="Arial"/>
      <color rgb="FF000000"/>
      <sz val="11"/>
    </font>
    <font>
      <name val="Arial"/>
      <color rgb="FF008000"/>
      <sz val="11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color rgb="FF008000"/>
      <sz val="10"/>
    </font>
    <font>
      <name val="Arial"/>
      <color rgb="FF0000FF"/>
      <sz val="11"/>
    </font>
    <font>
      <name val="Arial"/>
      <b val="1"/>
      <color rgb="FF0000FF"/>
      <sz val="11"/>
    </font>
    <font>
      <name val="Arial"/>
      <b val="1"/>
      <color rgb="FF000000"/>
      <sz val="10"/>
    </font>
    <font>
      <name val="Arial"/>
      <sz val="9"/>
    </font>
  </fonts>
  <fills count="22">
    <fill>
      <patternFill/>
    </fill>
    <fill>
      <patternFill patternType="gray125"/>
    </fill>
    <fill>
      <patternFill patternType="solid">
        <fgColor rgb="FFDDDDDD"/>
        <bgColor rgb="FF000000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16395B"/>
        <bgColor rgb="FF000000"/>
      </patternFill>
    </fill>
    <fill>
      <patternFill patternType="solid">
        <fgColor rgb="FF16395B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theme="7" tint="0.7999816888943144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DDDD"/>
        <bgColor rgb="FFD9D9D9"/>
      </patternFill>
    </fill>
    <fill>
      <patternFill patternType="solid">
        <fgColor rgb="FFBFBFBF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2CC"/>
        <bgColor indexed="64"/>
      </patternFill>
    </fill>
    <fill>
      <patternFill patternType="lightUp">
        <fgColor theme="0" tint="-0.249946592608417"/>
        <bgColor indexed="65"/>
      </patternFill>
    </fill>
    <fill>
      <patternFill patternType="solid">
        <fgColor theme="0" tint="-0.1499984740745262"/>
        <bgColor rgb="FF000000"/>
      </patternFill>
    </fill>
    <fill>
      <patternFill patternType="solid">
        <fgColor theme="0" tint="-0.0499893185216834"/>
        <bgColor rgb="FF000000"/>
      </patternFill>
    </fill>
    <fill>
      <patternFill patternType="solid">
        <fgColor rgb="FF16395B"/>
      </patternFill>
    </fill>
    <fill>
      <patternFill patternType="solid">
        <fgColor rgb="FFFFFF00"/>
      </patternFill>
    </fill>
  </fills>
  <borders count="8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thin">
        <color theme="0" tint="-0.1499679555650502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FFFFFF"/>
      </bottom>
      <diagonal/>
    </border>
    <border>
      <left/>
      <right/>
      <top style="thin">
        <color theme="0" tint="-0.1499679555650502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/>
      <top style="thin">
        <color indexed="64"/>
      </top>
      <bottom/>
      <diagonal/>
    </border>
    <border>
      <left style="thick">
        <color theme="0"/>
      </left>
      <right/>
      <top style="thin">
        <color theme="0" tint="-0.1499679555650502"/>
      </top>
      <bottom style="thin">
        <color theme="0" tint="-0.1499679555650502"/>
      </bottom>
      <diagonal/>
    </border>
    <border>
      <left style="thick">
        <color theme="0"/>
      </left>
      <right/>
      <top/>
      <bottom style="double">
        <color indexed="64"/>
      </bottom>
      <diagonal/>
    </border>
    <border>
      <left style="thick">
        <color theme="0"/>
      </left>
      <right/>
      <top style="thin">
        <color theme="0" tint="-0.1499679555650502"/>
      </top>
      <bottom/>
      <diagonal/>
    </border>
    <border>
      <left style="thick">
        <color theme="0"/>
      </left>
      <right/>
      <top/>
      <bottom style="thin">
        <color rgb="FF000000"/>
      </bottom>
      <diagonal/>
    </border>
    <border>
      <left style="thick">
        <color theme="0"/>
      </left>
      <right/>
      <top/>
      <bottom style="thin">
        <color theme="0" tint="-0.1499679555650502"/>
      </bottom>
      <diagonal/>
    </border>
    <border>
      <left/>
      <right/>
      <top/>
      <bottom style="medium">
        <color indexed="64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medium">
        <color rgb="FFFFFFFF"/>
      </left>
      <right/>
      <top/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thick">
        <color rgb="FFFFFFFF"/>
      </right>
      <top style="medium">
        <color rgb="FFFFFFFF"/>
      </top>
      <bottom/>
      <diagonal/>
    </border>
    <border>
      <left/>
      <right style="thick">
        <color rgb="FFFFFFFF"/>
      </right>
      <top/>
      <bottom/>
      <diagonal/>
    </border>
    <border>
      <left/>
      <right style="thick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ck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thick">
        <color rgb="FFFFFFFF"/>
      </right>
      <top style="medium">
        <color theme="0"/>
      </top>
      <bottom/>
      <diagonal/>
    </border>
    <border>
      <left/>
      <right style="thick">
        <color rgb="FFFFFFFF"/>
      </right>
      <top/>
      <bottom style="medium">
        <color theme="0"/>
      </bottom>
      <diagonal/>
    </border>
    <border>
      <left style="thick">
        <color rgb="FFFFFFFF"/>
      </left>
      <right/>
      <top style="medium">
        <color rgb="FFFFFFFF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theme="0"/>
      </left>
      <right/>
      <top/>
      <bottom style="thin">
        <color indexed="64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theme="0"/>
      </right>
      <top/>
      <bottom/>
      <diagonal/>
    </border>
    <border>
      <left/>
      <right style="thick">
        <color theme="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thin">
        <color indexed="64"/>
      </top>
      <bottom/>
      <diagonal/>
    </border>
    <border>
      <left/>
      <right style="medium">
        <color theme="0"/>
      </right>
      <top/>
      <bottom style="thin">
        <color indexed="64"/>
      </bottom>
      <diagonal/>
    </border>
  </borders>
  <cellStyleXfs count="5">
    <xf numFmtId="0" fontId="50" fillId="0" borderId="0"/>
    <xf numFmtId="0" fontId="1" fillId="0" borderId="0"/>
    <xf numFmtId="0" fontId="2" fillId="0" borderId="0"/>
    <xf numFmtId="0" fontId="6" fillId="0" borderId="0"/>
    <xf numFmtId="0" fontId="5" fillId="0" borderId="0"/>
  </cellStyleXfs>
  <cellXfs count="917">
    <xf numFmtId="0" fontId="0" fillId="0" borderId="0" pivotButton="0" quotePrefix="0" xfId="0"/>
    <xf numFmtId="0" fontId="3" fillId="0" borderId="0" pivotButton="0" quotePrefix="0" xfId="1"/>
    <xf numFmtId="164" fontId="3" fillId="0" borderId="0" pivotButton="0" quotePrefix="0" xfId="1"/>
    <xf numFmtId="0" fontId="5" fillId="0" borderId="0" applyAlignment="1" pivotButton="0" quotePrefix="0" xfId="3">
      <alignment horizontal="right"/>
    </xf>
    <xf numFmtId="0" fontId="3" fillId="0" borderId="0" applyAlignment="1" pivotButton="0" quotePrefix="0" xfId="1">
      <alignment horizontal="right"/>
    </xf>
    <xf numFmtId="0" fontId="4" fillId="0" borderId="0" applyAlignment="1" pivotButton="0" quotePrefix="0" xfId="1">
      <alignment horizontal="centerContinuous"/>
    </xf>
    <xf numFmtId="0" fontId="7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indent="1"/>
    </xf>
    <xf numFmtId="0" fontId="11" fillId="0" borderId="0" pivotButton="0" quotePrefix="0" xfId="0"/>
    <xf numFmtId="165" fontId="12" fillId="0" borderId="0" applyAlignment="1" pivotButton="0" quotePrefix="0" xfId="0">
      <alignment horizontal="right"/>
    </xf>
    <xf numFmtId="165" fontId="13" fillId="0" borderId="0" applyAlignment="1" pivotButton="0" quotePrefix="0" xfId="0">
      <alignment horizontal="right"/>
    </xf>
    <xf numFmtId="165" fontId="13" fillId="0" borderId="36" applyAlignment="1" pivotButton="0" quotePrefix="0" xfId="0">
      <alignment horizontal="right"/>
    </xf>
    <xf numFmtId="0" fontId="8" fillId="0" borderId="0" pivotButton="0" quotePrefix="0" xfId="0"/>
    <xf numFmtId="0" fontId="15" fillId="0" borderId="0" pivotButton="0" quotePrefix="0" xfId="0"/>
    <xf numFmtId="0" fontId="16" fillId="0" borderId="0" pivotButton="0" quotePrefix="0" xfId="1"/>
    <xf numFmtId="0" fontId="17" fillId="0" borderId="0" pivotButton="0" quotePrefix="0" xfId="1"/>
    <xf numFmtId="0" fontId="18" fillId="0" borderId="0" pivotButton="0" quotePrefix="0" xfId="1"/>
    <xf numFmtId="0" fontId="19" fillId="0" borderId="1" pivotButton="0" quotePrefix="0" xfId="1"/>
    <xf numFmtId="0" fontId="17" fillId="0" borderId="1" pivotButton="0" quotePrefix="0" xfId="1"/>
    <xf numFmtId="0" fontId="19" fillId="0" borderId="0" pivotButton="0" quotePrefix="0" xfId="1"/>
    <xf numFmtId="166" fontId="17" fillId="0" borderId="0" applyAlignment="1" pivotButton="0" quotePrefix="0" xfId="1">
      <alignment horizontal="right"/>
    </xf>
    <xf numFmtId="167" fontId="19" fillId="0" borderId="0" applyAlignment="1" pivotButton="0" quotePrefix="0" xfId="1">
      <alignment horizontal="right"/>
    </xf>
    <xf numFmtId="0" fontId="17" fillId="0" borderId="6" pivotButton="0" quotePrefix="0" xfId="1"/>
    <xf numFmtId="168" fontId="17" fillId="0" borderId="6" pivotButton="0" quotePrefix="0" xfId="1"/>
    <xf numFmtId="167" fontId="19" fillId="0" borderId="6" applyAlignment="1" pivotButton="0" quotePrefix="0" xfId="1">
      <alignment horizontal="right"/>
    </xf>
    <xf numFmtId="0" fontId="22" fillId="4" borderId="12" pivotButton="0" quotePrefix="0" xfId="1"/>
    <xf numFmtId="0" fontId="22" fillId="4" borderId="1" pivotButton="0" quotePrefix="0" xfId="1"/>
    <xf numFmtId="166" fontId="22" fillId="4" borderId="1" applyAlignment="1" pivotButton="0" quotePrefix="0" xfId="1">
      <alignment horizontal="right"/>
    </xf>
    <xf numFmtId="167" fontId="23" fillId="4" borderId="1" applyAlignment="1" pivotButton="0" quotePrefix="0" xfId="1">
      <alignment horizontal="right"/>
    </xf>
    <xf numFmtId="169" fontId="22" fillId="4" borderId="1" pivotButton="0" quotePrefix="0" xfId="1"/>
    <xf numFmtId="169" fontId="22" fillId="4" borderId="11" pivotButton="0" quotePrefix="0" xfId="1"/>
    <xf numFmtId="0" fontId="22" fillId="4" borderId="13" pivotButton="0" quotePrefix="0" xfId="1"/>
    <xf numFmtId="0" fontId="22" fillId="4" borderId="0" pivotButton="0" quotePrefix="0" xfId="1"/>
    <xf numFmtId="168" fontId="22" fillId="4" borderId="0" pivotButton="0" quotePrefix="0" xfId="1"/>
    <xf numFmtId="167" fontId="23" fillId="4" borderId="0" applyAlignment="1" pivotButton="0" quotePrefix="0" xfId="1">
      <alignment horizontal="right"/>
    </xf>
    <xf numFmtId="169" fontId="22" fillId="4" borderId="0" pivotButton="0" quotePrefix="0" xfId="1"/>
    <xf numFmtId="169" fontId="22" fillId="4" borderId="14" pivotButton="0" quotePrefix="0" xfId="1"/>
    <xf numFmtId="0" fontId="22" fillId="4" borderId="15" pivotButton="0" quotePrefix="0" xfId="1"/>
    <xf numFmtId="0" fontId="22" fillId="4" borderId="8" pivotButton="0" quotePrefix="0" xfId="1"/>
    <xf numFmtId="168" fontId="22" fillId="4" borderId="8" pivotButton="0" quotePrefix="0" xfId="1"/>
    <xf numFmtId="167" fontId="23" fillId="4" borderId="8" applyAlignment="1" pivotButton="0" quotePrefix="0" xfId="1">
      <alignment horizontal="right"/>
    </xf>
    <xf numFmtId="169" fontId="22" fillId="4" borderId="8" pivotButton="0" quotePrefix="0" xfId="1"/>
    <xf numFmtId="169" fontId="22" fillId="4" borderId="16" pivotButton="0" quotePrefix="0" xfId="1"/>
    <xf numFmtId="168" fontId="17" fillId="0" borderId="6" applyAlignment="1" pivotButton="0" quotePrefix="0" xfId="1">
      <alignment horizontal="right"/>
    </xf>
    <xf numFmtId="166" fontId="22" fillId="4" borderId="11" applyAlignment="1" pivotButton="0" quotePrefix="0" xfId="1">
      <alignment horizontal="right"/>
    </xf>
    <xf numFmtId="168" fontId="22" fillId="4" borderId="0" applyAlignment="1" pivotButton="0" quotePrefix="0" xfId="1">
      <alignment horizontal="right"/>
    </xf>
    <xf numFmtId="168" fontId="22" fillId="4" borderId="14" applyAlignment="1" pivotButton="0" quotePrefix="0" xfId="1">
      <alignment horizontal="right"/>
    </xf>
    <xf numFmtId="168" fontId="22" fillId="4" borderId="8" applyAlignment="1" pivotButton="0" quotePrefix="0" xfId="1">
      <alignment horizontal="right"/>
    </xf>
    <xf numFmtId="168" fontId="22" fillId="4" borderId="16" applyAlignment="1" pivotButton="0" quotePrefix="0" xfId="1">
      <alignment horizontal="right"/>
    </xf>
    <xf numFmtId="0" fontId="20" fillId="7" borderId="31" applyAlignment="1" pivotButton="0" quotePrefix="0" xfId="0">
      <alignment horizontal="left" vertical="center"/>
    </xf>
    <xf numFmtId="0" fontId="20" fillId="7" borderId="32" applyAlignment="1" pivotButton="0" quotePrefix="0" xfId="0">
      <alignment horizontal="centerContinuous" vertical="center"/>
    </xf>
    <xf numFmtId="0" fontId="20" fillId="7" borderId="33" applyAlignment="1" pivotButton="0" quotePrefix="0" xfId="0">
      <alignment horizontal="left" vertical="center"/>
    </xf>
    <xf numFmtId="0" fontId="20" fillId="7" borderId="0" applyAlignment="1" pivotButton="0" quotePrefix="0" xfId="0">
      <alignment horizontal="centerContinuous" vertical="center"/>
    </xf>
    <xf numFmtId="0" fontId="20" fillId="7" borderId="58" applyAlignment="1" pivotButton="0" quotePrefix="0" xfId="0">
      <alignment horizontal="centerContinuous" vertical="center"/>
    </xf>
    <xf numFmtId="0" fontId="20" fillId="7" borderId="34" applyAlignment="1" pivotButton="0" quotePrefix="0" xfId="0">
      <alignment horizontal="left" vertical="center"/>
    </xf>
    <xf numFmtId="0" fontId="20" fillId="7" borderId="35" applyAlignment="1" pivotButton="0" quotePrefix="0" xfId="0">
      <alignment horizontal="centerContinuous" vertical="center"/>
    </xf>
    <xf numFmtId="0" fontId="22" fillId="5" borderId="18" applyAlignment="1" pivotButton="0" quotePrefix="0" xfId="1">
      <alignment horizontal="left" vertical="center"/>
    </xf>
    <xf numFmtId="0" fontId="20" fillId="5" borderId="19" applyAlignment="1" pivotButton="0" quotePrefix="0" xfId="1">
      <alignment horizontal="left" vertical="center"/>
    </xf>
    <xf numFmtId="0" fontId="20" fillId="0" borderId="0" applyAlignment="1" pivotButton="0" quotePrefix="0" xfId="1">
      <alignment horizontal="left" vertical="center"/>
    </xf>
    <xf numFmtId="0" fontId="20" fillId="0" borderId="0" applyAlignment="1" pivotButton="0" quotePrefix="0" xfId="1">
      <alignment horizontal="centerContinuous" vertical="center"/>
    </xf>
    <xf numFmtId="0" fontId="17" fillId="0" borderId="0" pivotButton="0" quotePrefix="0" xfId="2"/>
    <xf numFmtId="167" fontId="17" fillId="0" borderId="0" pivotButton="0" quotePrefix="0" xfId="2"/>
    <xf numFmtId="0" fontId="17" fillId="0" borderId="0" pivotButton="0" quotePrefix="1" xfId="2"/>
    <xf numFmtId="170" fontId="9" fillId="0" borderId="0" pivotButton="0" quotePrefix="0" xfId="2"/>
    <xf numFmtId="167" fontId="9" fillId="0" borderId="0" pivotButton="0" quotePrefix="0" xfId="2"/>
    <xf numFmtId="0" fontId="22" fillId="0" borderId="1" pivotButton="0" quotePrefix="0" xfId="2"/>
    <xf numFmtId="167" fontId="22" fillId="0" borderId="1" pivotButton="0" quotePrefix="0" xfId="2"/>
    <xf numFmtId="166" fontId="17" fillId="0" borderId="0" pivotButton="0" quotePrefix="0" xfId="2"/>
    <xf numFmtId="168" fontId="17" fillId="0" borderId="0" pivotButton="0" quotePrefix="0" xfId="2"/>
    <xf numFmtId="165" fontId="17" fillId="0" borderId="0" pivotButton="0" quotePrefix="0" xfId="2"/>
    <xf numFmtId="165" fontId="22" fillId="0" borderId="1" pivotButton="0" quotePrefix="0" xfId="2"/>
    <xf numFmtId="0" fontId="25" fillId="3" borderId="18" applyAlignment="1" pivotButton="0" quotePrefix="0" xfId="1">
      <alignment horizontal="left" vertical="center"/>
    </xf>
    <xf numFmtId="0" fontId="25" fillId="3" borderId="19" applyAlignment="1" pivotButton="0" quotePrefix="0" xfId="1">
      <alignment horizontal="left" vertical="center"/>
    </xf>
    <xf numFmtId="0" fontId="22" fillId="11" borderId="17" applyAlignment="1" pivotButton="0" quotePrefix="0" xfId="2">
      <alignment vertical="center"/>
    </xf>
    <xf numFmtId="0" fontId="22" fillId="11" borderId="7" applyAlignment="1" pivotButton="0" quotePrefix="0" xfId="2">
      <alignment vertical="center"/>
    </xf>
    <xf numFmtId="167" fontId="22" fillId="11" borderId="7" applyAlignment="1" pivotButton="0" quotePrefix="0" xfId="2">
      <alignment vertical="center"/>
    </xf>
    <xf numFmtId="166" fontId="9" fillId="11" borderId="5" applyAlignment="1" pivotButton="0" quotePrefix="0" xfId="0">
      <alignment horizontal="right"/>
    </xf>
    <xf numFmtId="0" fontId="26" fillId="0" borderId="0" applyAlignment="1" pivotButton="0" quotePrefix="0" xfId="0">
      <alignment horizontal="center"/>
    </xf>
    <xf numFmtId="0" fontId="26" fillId="0" borderId="0" pivotButton="0" quotePrefix="0" xfId="0"/>
    <xf numFmtId="0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71" fontId="26" fillId="0" borderId="0" applyAlignment="1" pivotButton="0" quotePrefix="0" xfId="0">
      <alignment horizontal="center"/>
    </xf>
    <xf numFmtId="0" fontId="20" fillId="7" borderId="56" applyAlignment="1" pivotButton="0" quotePrefix="0" xfId="0">
      <alignment horizontal="left" vertical="center"/>
    </xf>
    <xf numFmtId="0" fontId="20" fillId="7" borderId="55" applyAlignment="1" pivotButton="0" quotePrefix="0" xfId="0">
      <alignment horizontal="centerContinuous" vertical="center"/>
    </xf>
    <xf numFmtId="0" fontId="20" fillId="7" borderId="57" applyAlignment="1" pivotButton="0" quotePrefix="0" xfId="0">
      <alignment horizontal="centerContinuous" vertical="center"/>
    </xf>
    <xf numFmtId="0" fontId="20" fillId="7" borderId="54" applyAlignment="1" pivotButton="0" quotePrefix="0" xfId="0">
      <alignment horizontal="left" vertical="center"/>
    </xf>
    <xf numFmtId="0" fontId="20" fillId="7" borderId="44" applyAlignment="1" pivotButton="0" quotePrefix="0" xfId="0">
      <alignment horizontal="centerContinuous" vertical="center"/>
    </xf>
    <xf numFmtId="0" fontId="20" fillId="7" borderId="25" applyAlignment="1" pivotButton="0" quotePrefix="0" xfId="0">
      <alignment horizontal="centerContinuous" vertical="center"/>
    </xf>
    <xf numFmtId="164" fontId="20" fillId="7" borderId="5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Continuous" vertical="center"/>
    </xf>
    <xf numFmtId="0" fontId="20" fillId="3" borderId="44" applyAlignment="1" pivotButton="0" quotePrefix="0" xfId="0">
      <alignment horizontal="left" vertical="center"/>
    </xf>
    <xf numFmtId="0" fontId="20" fillId="3" borderId="25" applyAlignment="1" pivotButton="0" quotePrefix="0" xfId="0">
      <alignment horizontal="left" vertical="center"/>
    </xf>
    <xf numFmtId="0" fontId="19" fillId="0" borderId="0" pivotButton="0" quotePrefix="0" xfId="0"/>
    <xf numFmtId="0" fontId="17" fillId="0" borderId="0" pivotButton="0" quotePrefix="0" xfId="0"/>
    <xf numFmtId="0" fontId="28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168" fontId="9" fillId="11" borderId="5" applyAlignment="1" pivotButton="0" quotePrefix="0" xfId="0">
      <alignment horizontal="right"/>
    </xf>
    <xf numFmtId="0" fontId="23" fillId="0" borderId="1" applyAlignment="1" pivotButton="0" quotePrefix="0" xfId="0">
      <alignment horizontal="left"/>
    </xf>
    <xf numFmtId="0" fontId="22" fillId="0" borderId="1" applyAlignment="1" pivotButton="0" quotePrefix="0" xfId="0">
      <alignment horizontal="center"/>
    </xf>
    <xf numFmtId="166" fontId="23" fillId="0" borderId="1" applyAlignment="1" pivotButton="0" quotePrefix="0" xfId="0">
      <alignment horizontal="right"/>
    </xf>
    <xf numFmtId="0" fontId="2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center"/>
    </xf>
    <xf numFmtId="166" fontId="23" fillId="0" borderId="0" applyAlignment="1" pivotButton="0" quotePrefix="0" xfId="0">
      <alignment horizontal="right"/>
    </xf>
    <xf numFmtId="166" fontId="22" fillId="0" borderId="1" applyAlignment="1" pivotButton="0" quotePrefix="0" xfId="0">
      <alignment horizontal="right"/>
    </xf>
    <xf numFmtId="0" fontId="30" fillId="0" borderId="0" applyAlignment="1" pivotButton="0" quotePrefix="0" xfId="0">
      <alignment horizontal="center"/>
    </xf>
    <xf numFmtId="165" fontId="31" fillId="0" borderId="0" applyAlignment="1" pivotButton="0" quotePrefix="0" xfId="0">
      <alignment horizontal="right"/>
    </xf>
    <xf numFmtId="166" fontId="22" fillId="0" borderId="0" applyAlignment="1" pivotButton="0" quotePrefix="0" xfId="0">
      <alignment horizontal="right"/>
    </xf>
    <xf numFmtId="166" fontId="21" fillId="0" borderId="1" applyAlignment="1" pivotButton="0" quotePrefix="0" xfId="0">
      <alignment horizontal="right"/>
    </xf>
    <xf numFmtId="0" fontId="29" fillId="0" borderId="0" applyAlignment="1" pivotButton="0" quotePrefix="0" xfId="0">
      <alignment horizontal="left" indent="1"/>
    </xf>
    <xf numFmtId="0" fontId="17" fillId="0" borderId="0" applyAlignment="1" pivotButton="0" quotePrefix="0" xfId="0">
      <alignment horizontal="left"/>
    </xf>
    <xf numFmtId="0" fontId="17" fillId="0" borderId="1" applyAlignment="1" pivotButton="0" quotePrefix="0" xfId="0">
      <alignment horizontal="center"/>
    </xf>
    <xf numFmtId="166" fontId="17" fillId="0" borderId="1" applyAlignment="1" pivotButton="0" quotePrefix="0" xfId="0">
      <alignment horizontal="right"/>
    </xf>
    <xf numFmtId="165" fontId="26" fillId="0" borderId="0" applyAlignment="1" pivotButton="0" quotePrefix="0" xfId="0">
      <alignment horizontal="right"/>
    </xf>
    <xf numFmtId="166" fontId="17" fillId="0" borderId="0" pivotButton="0" quotePrefix="0" xfId="0"/>
    <xf numFmtId="166" fontId="10" fillId="0" borderId="0" applyAlignment="1" pivotButton="0" quotePrefix="0" xfId="0">
      <alignment horizontal="right"/>
    </xf>
    <xf numFmtId="166" fontId="26" fillId="0" borderId="0" applyAlignment="1" pivotButton="0" quotePrefix="0" xfId="0">
      <alignment horizontal="right"/>
    </xf>
    <xf numFmtId="0" fontId="11" fillId="4" borderId="48" applyAlignment="1" pivotButton="0" quotePrefix="0" xfId="0">
      <alignment horizontal="left"/>
    </xf>
    <xf numFmtId="0" fontId="32" fillId="4" borderId="49" applyAlignment="1" pivotButton="0" quotePrefix="0" xfId="0">
      <alignment horizontal="center"/>
    </xf>
    <xf numFmtId="0" fontId="11" fillId="4" borderId="51" applyAlignment="1" pivotButton="0" quotePrefix="0" xfId="0">
      <alignment horizontal="left"/>
    </xf>
    <xf numFmtId="0" fontId="20" fillId="3" borderId="3" applyAlignment="1" pivotButton="0" quotePrefix="0" xfId="0">
      <alignment horizontal="left" vertical="center"/>
    </xf>
    <xf numFmtId="0" fontId="20" fillId="3" borderId="2" applyAlignment="1" pivotButton="0" quotePrefix="0" xfId="0">
      <alignment horizontal="left" vertical="center"/>
    </xf>
    <xf numFmtId="0" fontId="33" fillId="0" borderId="0" pivotButton="0" quotePrefix="0" xfId="0"/>
    <xf numFmtId="0" fontId="21" fillId="0" borderId="1" pivotButton="0" quotePrefix="0" xfId="0"/>
    <xf numFmtId="0" fontId="34" fillId="0" borderId="1" pivotButton="0" quotePrefix="0" xfId="0"/>
    <xf numFmtId="166" fontId="21" fillId="0" borderId="0" applyAlignment="1" pivotButton="0" quotePrefix="0" xfId="0">
      <alignment horizontal="right"/>
    </xf>
    <xf numFmtId="0" fontId="22" fillId="0" borderId="1" pivotButton="0" quotePrefix="0" xfId="0"/>
    <xf numFmtId="166" fontId="21" fillId="0" borderId="1" pivotButton="0" quotePrefix="0" xfId="0"/>
    <xf numFmtId="0" fontId="22" fillId="0" borderId="0" pivotButton="0" quotePrefix="0" xfId="0"/>
    <xf numFmtId="166" fontId="21" fillId="0" borderId="0" pivotButton="0" quotePrefix="0" xfId="0"/>
    <xf numFmtId="168" fontId="21" fillId="0" borderId="0" pivotButton="0" quotePrefix="0" xfId="0"/>
    <xf numFmtId="0" fontId="9" fillId="0" borderId="0" pivotButton="0" quotePrefix="0" xfId="0"/>
    <xf numFmtId="0" fontId="13" fillId="0" borderId="0" applyAlignment="1" pivotButton="0" quotePrefix="0" xfId="0">
      <alignment horizontal="left" indent="1"/>
    </xf>
    <xf numFmtId="0" fontId="13" fillId="0" borderId="0" pivotButton="0" quotePrefix="0" xfId="0"/>
    <xf numFmtId="165" fontId="10" fillId="0" borderId="0" applyAlignment="1" pivotButton="0" quotePrefix="0" xfId="0">
      <alignment horizontal="right"/>
    </xf>
    <xf numFmtId="0" fontId="22" fillId="0" borderId="4" pivotButton="0" quotePrefix="0" xfId="0"/>
    <xf numFmtId="166" fontId="21" fillId="0" borderId="4" applyAlignment="1" pivotButton="0" quotePrefix="0" xfId="0">
      <alignment horizontal="right"/>
    </xf>
    <xf numFmtId="0" fontId="12" fillId="0" borderId="0" applyAlignment="1" pivotButton="0" quotePrefix="0" xfId="0">
      <alignment horizontal="left" indent="1"/>
    </xf>
    <xf numFmtId="168" fontId="10" fillId="0" borderId="0" applyAlignment="1" pivotButton="0" quotePrefix="0" xfId="0">
      <alignment horizontal="right"/>
    </xf>
    <xf numFmtId="166" fontId="9" fillId="0" borderId="0" pivotButton="0" quotePrefix="0" xfId="0"/>
    <xf numFmtId="168" fontId="9" fillId="0" borderId="0" applyAlignment="1" pivotButton="0" quotePrefix="0" xfId="0">
      <alignment horizontal="right"/>
    </xf>
    <xf numFmtId="0" fontId="22" fillId="0" borderId="4" applyAlignment="1" pivotButton="0" quotePrefix="0" xfId="0">
      <alignment horizontal="left"/>
    </xf>
    <xf numFmtId="0" fontId="13" fillId="4" borderId="45" applyAlignment="1" pivotButton="0" quotePrefix="0" xfId="0">
      <alignment horizontal="left"/>
    </xf>
    <xf numFmtId="0" fontId="13" fillId="4" borderId="46" pivotButton="0" quotePrefix="0" xfId="0"/>
    <xf numFmtId="172" fontId="14" fillId="4" borderId="46" applyAlignment="1" pivotButton="0" quotePrefix="0" xfId="0">
      <alignment horizontal="right"/>
    </xf>
    <xf numFmtId="172" fontId="14" fillId="4" borderId="47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0" fontId="35" fillId="0" borderId="0" applyAlignment="1" pivotButton="0" quotePrefix="0" xfId="0">
      <alignment horizontal="left"/>
    </xf>
    <xf numFmtId="0" fontId="36" fillId="0" borderId="0" applyAlignment="1" pivotButton="0" quotePrefix="0" xfId="0">
      <alignment horizontal="right"/>
    </xf>
    <xf numFmtId="0" fontId="20" fillId="7" borderId="3" applyAlignment="1" pivotButton="0" quotePrefix="0" xfId="0">
      <alignment horizontal="centerContinuous" vertical="center"/>
    </xf>
    <xf numFmtId="0" fontId="20" fillId="7" borderId="2" applyAlignment="1" pivotButton="0" quotePrefix="0" xfId="0">
      <alignment horizontal="centerContinuous" vertical="center"/>
    </xf>
    <xf numFmtId="0" fontId="20" fillId="7" borderId="62" applyAlignment="1" pivotButton="0" quotePrefix="0" xfId="0">
      <alignment horizontal="centerContinuous" vertical="center"/>
    </xf>
    <xf numFmtId="0" fontId="20" fillId="7" borderId="61" applyAlignment="1" pivotButton="0" quotePrefix="0" xfId="0">
      <alignment horizontal="centerContinuous" vertical="center"/>
    </xf>
    <xf numFmtId="0" fontId="7" fillId="0" borderId="36" pivotButton="0" quotePrefix="0" xfId="0"/>
    <xf numFmtId="0" fontId="7" fillId="0" borderId="20" pivotButton="0" quotePrefix="0" xfId="0"/>
    <xf numFmtId="165" fontId="8" fillId="0" borderId="20" applyAlignment="1" pivotButton="0" quotePrefix="0" xfId="0">
      <alignment horizontal="right"/>
    </xf>
    <xf numFmtId="165" fontId="8" fillId="0" borderId="42" applyAlignment="1" pivotButton="0" quotePrefix="0" xfId="0">
      <alignment horizontal="right"/>
    </xf>
    <xf numFmtId="0" fontId="7" fillId="0" borderId="6" pivotButton="0" quotePrefix="0" xfId="0"/>
    <xf numFmtId="165" fontId="8" fillId="0" borderId="6" applyAlignment="1" pivotButton="0" quotePrefix="0" xfId="0">
      <alignment horizontal="right"/>
    </xf>
    <xf numFmtId="165" fontId="8" fillId="0" borderId="38" applyAlignment="1" pivotButton="0" quotePrefix="0" xfId="0">
      <alignment horizontal="right"/>
    </xf>
    <xf numFmtId="0" fontId="8" fillId="0" borderId="36" pivotButton="0" quotePrefix="0" xfId="0"/>
    <xf numFmtId="165" fontId="8" fillId="0" borderId="0" applyAlignment="1" pivotButton="0" quotePrefix="0" xfId="0">
      <alignment horizontal="right"/>
    </xf>
    <xf numFmtId="165" fontId="8" fillId="0" borderId="36" applyAlignment="1" pivotButton="0" quotePrefix="0" xfId="0">
      <alignment horizontal="right"/>
    </xf>
    <xf numFmtId="165" fontId="8" fillId="0" borderId="6" pivotButton="0" quotePrefix="0" xfId="0"/>
    <xf numFmtId="165" fontId="8" fillId="0" borderId="38" pivotButton="0" quotePrefix="0" xfId="0"/>
    <xf numFmtId="0" fontId="37" fillId="0" borderId="0" pivotButton="0" quotePrefix="0" xfId="0"/>
    <xf numFmtId="0" fontId="37" fillId="0" borderId="36" pivotButton="0" quotePrefix="0" xfId="0"/>
    <xf numFmtId="169" fontId="8" fillId="0" borderId="0" applyAlignment="1" pivotButton="0" quotePrefix="0" xfId="0">
      <alignment horizontal="right"/>
    </xf>
    <xf numFmtId="169" fontId="8" fillId="0" borderId="36" applyAlignment="1" pivotButton="0" quotePrefix="0" xfId="0">
      <alignment horizontal="right"/>
    </xf>
    <xf numFmtId="169" fontId="8" fillId="0" borderId="6" applyAlignment="1" pivotButton="0" quotePrefix="0" xfId="0">
      <alignment horizontal="right"/>
    </xf>
    <xf numFmtId="169" fontId="8" fillId="0" borderId="38" applyAlignment="1" pivotButton="0" quotePrefix="0" xfId="0">
      <alignment horizontal="right"/>
    </xf>
    <xf numFmtId="166" fontId="8" fillId="0" borderId="6" applyAlignment="1" pivotButton="0" quotePrefix="0" xfId="0">
      <alignment horizontal="right"/>
    </xf>
    <xf numFmtId="166" fontId="8" fillId="0" borderId="38" applyAlignment="1" pivotButton="0" quotePrefix="0" xfId="0">
      <alignment horizontal="right"/>
    </xf>
    <xf numFmtId="0" fontId="20" fillId="6" borderId="56" applyAlignment="1" pivotButton="0" quotePrefix="0" xfId="0">
      <alignment horizontal="left" vertical="center"/>
    </xf>
    <xf numFmtId="0" fontId="20" fillId="6" borderId="55" applyAlignment="1" pivotButton="0" quotePrefix="0" xfId="0">
      <alignment horizontal="centerContinuous" vertical="center"/>
    </xf>
    <xf numFmtId="0" fontId="20" fillId="6" borderId="57" applyAlignment="1" pivotButton="0" quotePrefix="0" xfId="0">
      <alignment horizontal="centerContinuous" vertical="center"/>
    </xf>
    <xf numFmtId="0" fontId="20" fillId="6" borderId="65" applyAlignment="1" pivotButton="0" quotePrefix="0" xfId="0">
      <alignment horizontal="centerContinuous" vertical="center"/>
    </xf>
    <xf numFmtId="0" fontId="20" fillId="6" borderId="54" applyAlignment="1" pivotButton="0" quotePrefix="0" xfId="0">
      <alignment horizontal="left" vertical="center"/>
    </xf>
    <xf numFmtId="0" fontId="20" fillId="6" borderId="0" applyAlignment="1" pivotButton="0" quotePrefix="0" xfId="0">
      <alignment horizontal="centerContinuous" vertical="center"/>
    </xf>
    <xf numFmtId="0" fontId="20" fillId="6" borderId="58" applyAlignment="1" pivotButton="0" quotePrefix="0" xfId="0">
      <alignment horizontal="center" vertical="center"/>
    </xf>
    <xf numFmtId="0" fontId="20" fillId="6" borderId="66" applyAlignment="1" pivotButton="0" quotePrefix="0" xfId="0">
      <alignment horizontal="centerContinuous" vertical="center"/>
    </xf>
    <xf numFmtId="0" fontId="20" fillId="6" borderId="44" applyAlignment="1" pivotButton="0" quotePrefix="0" xfId="0">
      <alignment horizontal="left" vertical="center"/>
    </xf>
    <xf numFmtId="0" fontId="20" fillId="6" borderId="25" applyAlignment="1" pivotButton="0" quotePrefix="0" xfId="0">
      <alignment horizontal="centerContinuous" vertical="center"/>
    </xf>
    <xf numFmtId="164" fontId="20" fillId="6" borderId="59" applyAlignment="1" pivotButton="0" quotePrefix="0" xfId="0">
      <alignment horizontal="center" vertical="center"/>
    </xf>
    <xf numFmtId="0" fontId="20" fillId="6" borderId="67" applyAlignment="1" pivotButton="0" quotePrefix="0" xfId="0">
      <alignment horizontal="centerContinuous" vertical="center"/>
    </xf>
    <xf numFmtId="0" fontId="20" fillId="0" borderId="0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7" borderId="60" applyAlignment="1" pivotButton="0" quotePrefix="0" xfId="0">
      <alignment horizontal="centerContinuous" vertical="center"/>
    </xf>
    <xf numFmtId="0" fontId="9" fillId="4" borderId="9" applyAlignment="1" pivotButton="0" quotePrefix="0" xfId="0">
      <alignment horizontal="right" vertical="center"/>
    </xf>
    <xf numFmtId="1" fontId="10" fillId="9" borderId="29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14" fontId="9" fillId="4" borderId="68" applyAlignment="1" pivotButton="0" quotePrefix="0" xfId="0">
      <alignment horizontal="right" vertical="center"/>
    </xf>
    <xf numFmtId="173" fontId="9" fillId="9" borderId="29" applyAlignment="1" pivotButton="0" quotePrefix="0" xfId="0">
      <alignment horizontal="right" vertical="center"/>
    </xf>
    <xf numFmtId="0" fontId="23" fillId="2" borderId="18" pivotButton="0" quotePrefix="0" xfId="0"/>
    <xf numFmtId="0" fontId="19" fillId="2" borderId="21" pivotButton="0" quotePrefix="0" xfId="0"/>
    <xf numFmtId="0" fontId="9" fillId="4" borderId="30" applyAlignment="1" pivotButton="0" quotePrefix="0" xfId="0">
      <alignment horizontal="right" vertical="center"/>
    </xf>
    <xf numFmtId="0" fontId="21" fillId="12" borderId="18" pivotButton="0" quotePrefix="0" xfId="0"/>
    <xf numFmtId="0" fontId="10" fillId="12" borderId="21" pivotButton="0" quotePrefix="0" xfId="0"/>
    <xf numFmtId="0" fontId="21" fillId="11" borderId="18" pivotButton="0" quotePrefix="0" xfId="0"/>
    <xf numFmtId="0" fontId="10" fillId="11" borderId="21" pivotButton="0" quotePrefix="0" xfId="0"/>
    <xf numFmtId="0" fontId="41" fillId="0" borderId="0" pivotButton="0" quotePrefix="0" xfId="0"/>
    <xf numFmtId="0" fontId="24" fillId="0" borderId="0" pivotButton="0" quotePrefix="0" xfId="0"/>
    <xf numFmtId="0" fontId="42" fillId="0" borderId="0" pivotButton="0" quotePrefix="0" xfId="0"/>
    <xf numFmtId="0" fontId="43" fillId="0" borderId="27" applyAlignment="1" pivotButton="0" quotePrefix="0" xfId="0">
      <alignment vertical="center"/>
    </xf>
    <xf numFmtId="0" fontId="43" fillId="0" borderId="27" pivotButton="0" quotePrefix="0" xfId="0"/>
    <xf numFmtId="0" fontId="44" fillId="7" borderId="0" applyAlignment="1" pivotButton="0" quotePrefix="0" xfId="1">
      <alignment horizontal="centerContinuous"/>
    </xf>
    <xf numFmtId="169" fontId="17" fillId="0" borderId="0" applyAlignment="1" pivotButton="0" quotePrefix="0" xfId="1">
      <alignment horizontal="right"/>
    </xf>
    <xf numFmtId="169" fontId="17" fillId="0" borderId="6" applyAlignment="1" pivotButton="0" quotePrefix="0" xfId="1">
      <alignment horizontal="right"/>
    </xf>
    <xf numFmtId="164" fontId="20" fillId="7" borderId="2" applyAlignment="1" pivotButton="0" quotePrefix="0" xfId="0">
      <alignment horizontal="center" vertical="center"/>
    </xf>
    <xf numFmtId="0" fontId="20" fillId="7" borderId="0" applyAlignment="1" pivotButton="0" quotePrefix="0" xfId="0">
      <alignment horizontal="left" vertical="center"/>
    </xf>
    <xf numFmtId="0" fontId="20" fillId="7" borderId="58" applyAlignment="1" pivotButton="0" quotePrefix="0" xfId="0">
      <alignment horizontal="center" vertical="center"/>
    </xf>
    <xf numFmtId="0" fontId="21" fillId="0" borderId="0" pivotButton="0" quotePrefix="0" xfId="0"/>
    <xf numFmtId="164" fontId="20" fillId="7" borderId="58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indent="1"/>
    </xf>
    <xf numFmtId="0" fontId="10" fillId="0" borderId="0" pivotButton="0" quotePrefix="1" xfId="0"/>
    <xf numFmtId="0" fontId="9" fillId="0" borderId="0" applyAlignment="1" pivotButton="0" quotePrefix="0" xfId="0">
      <alignment horizontal="center"/>
    </xf>
    <xf numFmtId="174" fontId="10" fillId="0" borderId="0" pivotButton="0" quotePrefix="0" xfId="0"/>
    <xf numFmtId="0" fontId="41" fillId="0" borderId="0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23" fillId="0" borderId="0" pivotButton="0" quotePrefix="0" xfId="0"/>
    <xf numFmtId="174" fontId="22" fillId="0" borderId="0" applyAlignment="1" pivotButton="0" quotePrefix="0" xfId="0">
      <alignment horizontal="right"/>
    </xf>
    <xf numFmtId="174" fontId="22" fillId="0" borderId="36" applyAlignment="1" pivotButton="0" quotePrefix="0" xfId="0">
      <alignment horizontal="right"/>
    </xf>
    <xf numFmtId="174" fontId="17" fillId="0" borderId="0" applyAlignment="1" pivotButton="0" quotePrefix="0" xfId="0">
      <alignment horizontal="right"/>
    </xf>
    <xf numFmtId="174" fontId="17" fillId="0" borderId="36" applyAlignment="1" pivotButton="0" quotePrefix="0" xfId="0">
      <alignment horizontal="right"/>
    </xf>
    <xf numFmtId="174" fontId="41" fillId="0" borderId="0" applyAlignment="1" pivotButton="0" quotePrefix="0" xfId="0">
      <alignment horizontal="right"/>
    </xf>
    <xf numFmtId="174" fontId="24" fillId="0" borderId="36" applyAlignment="1" pivotButton="0" quotePrefix="0" xfId="0">
      <alignment horizontal="right"/>
    </xf>
    <xf numFmtId="174" fontId="24" fillId="0" borderId="0" applyAlignment="1" pivotButton="0" quotePrefix="0" xfId="0">
      <alignment horizontal="right"/>
    </xf>
    <xf numFmtId="174" fontId="23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2"/>
    </xf>
    <xf numFmtId="0" fontId="41" fillId="0" borderId="0" applyAlignment="1" pivotButton="0" quotePrefix="1" xfId="0">
      <alignment horizontal="left" indent="1"/>
    </xf>
    <xf numFmtId="173" fontId="41" fillId="0" borderId="0" applyAlignment="1" pivotButton="0" quotePrefix="0" xfId="0">
      <alignment horizontal="right"/>
    </xf>
    <xf numFmtId="173" fontId="24" fillId="0" borderId="36" applyAlignment="1" pivotButton="0" quotePrefix="0" xfId="0">
      <alignment horizontal="right"/>
    </xf>
    <xf numFmtId="173" fontId="24" fillId="0" borderId="0" applyAlignment="1" pivotButton="0" quotePrefix="0" xfId="0">
      <alignment horizontal="right"/>
    </xf>
    <xf numFmtId="0" fontId="23" fillId="0" borderId="1" pivotButton="0" quotePrefix="0" xfId="0"/>
    <xf numFmtId="174" fontId="23" fillId="0" borderId="1" applyAlignment="1" pivotButton="0" quotePrefix="0" xfId="0">
      <alignment horizontal="right"/>
    </xf>
    <xf numFmtId="174" fontId="22" fillId="0" borderId="1" applyAlignment="1" pivotButton="0" quotePrefix="0" xfId="0">
      <alignment horizontal="right"/>
    </xf>
    <xf numFmtId="174" fontId="22" fillId="0" borderId="37" applyAlignment="1" pivotButton="0" quotePrefix="0" xfId="0">
      <alignment horizontal="right"/>
    </xf>
    <xf numFmtId="174" fontId="41" fillId="0" borderId="36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74" fontId="13" fillId="0" borderId="0" applyAlignment="1" pivotButton="0" quotePrefix="0" xfId="0">
      <alignment horizontal="right"/>
    </xf>
    <xf numFmtId="174" fontId="13" fillId="0" borderId="36" applyAlignment="1" pivotButton="0" quotePrefix="0" xfId="0">
      <alignment horizontal="right"/>
    </xf>
    <xf numFmtId="167" fontId="11" fillId="0" borderId="0" applyAlignment="1" pivotButton="0" quotePrefix="0" xfId="0">
      <alignment horizontal="right"/>
    </xf>
    <xf numFmtId="167" fontId="13" fillId="0" borderId="0" applyAlignment="1" pivotButton="0" quotePrefix="0" xfId="0">
      <alignment horizontal="right"/>
    </xf>
    <xf numFmtId="0" fontId="45" fillId="0" borderId="0" pivotButton="0" quotePrefix="0" xfId="0"/>
    <xf numFmtId="0" fontId="19" fillId="0" borderId="0" applyAlignment="1" pivotButton="0" quotePrefix="0" xfId="0">
      <alignment horizontal="left"/>
    </xf>
    <xf numFmtId="167" fontId="19" fillId="0" borderId="0" applyAlignment="1" pivotButton="0" quotePrefix="0" xfId="0">
      <alignment horizontal="right"/>
    </xf>
    <xf numFmtId="167" fontId="17" fillId="0" borderId="0" applyAlignment="1" pivotButton="0" quotePrefix="0" xfId="0">
      <alignment horizontal="right"/>
    </xf>
    <xf numFmtId="174" fontId="9" fillId="11" borderId="5" applyAlignment="1" pivotButton="0" quotePrefix="0" xfId="0">
      <alignment horizontal="right"/>
    </xf>
    <xf numFmtId="0" fontId="19" fillId="0" borderId="43" applyAlignment="1" pivotButton="0" quotePrefix="0" xfId="0">
      <alignment horizontal="left"/>
    </xf>
    <xf numFmtId="0" fontId="19" fillId="0" borderId="43" pivotButton="0" quotePrefix="0" xfId="0"/>
    <xf numFmtId="167" fontId="19" fillId="0" borderId="43" applyAlignment="1" pivotButton="0" quotePrefix="0" xfId="0">
      <alignment horizontal="right"/>
    </xf>
    <xf numFmtId="167" fontId="17" fillId="0" borderId="43" applyAlignment="1" pivotButton="0" quotePrefix="0" xfId="0">
      <alignment horizontal="right"/>
    </xf>
    <xf numFmtId="0" fontId="46" fillId="0" borderId="0" applyAlignment="1" pivotButton="0" quotePrefix="0" xfId="0">
      <alignment horizontal="left"/>
    </xf>
    <xf numFmtId="174" fontId="21" fillId="2" borderId="0" applyAlignment="1" pivotButton="0" quotePrefix="0" xfId="0">
      <alignment horizontal="right"/>
    </xf>
    <xf numFmtId="174" fontId="21" fillId="0" borderId="0" applyAlignment="1" pivotButton="0" quotePrefix="0" xfId="0">
      <alignment horizontal="right"/>
    </xf>
    <xf numFmtId="0" fontId="10" fillId="2" borderId="0" pivotButton="0" quotePrefix="0" xfId="0"/>
    <xf numFmtId="0" fontId="10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right"/>
    </xf>
    <xf numFmtId="0" fontId="17" fillId="0" borderId="36" applyAlignment="1" pivotButton="0" quotePrefix="0" xfId="0">
      <alignment horizontal="right"/>
    </xf>
    <xf numFmtId="173" fontId="17" fillId="0" borderId="0" applyAlignment="1" pivotButton="0" quotePrefix="0" xfId="0">
      <alignment horizontal="right"/>
    </xf>
    <xf numFmtId="173" fontId="17" fillId="0" borderId="36" applyAlignment="1" pivotButton="0" quotePrefix="0" xfId="0">
      <alignment horizontal="right"/>
    </xf>
    <xf numFmtId="173" fontId="22" fillId="0" borderId="0" applyAlignment="1" pivotButton="0" quotePrefix="0" xfId="0">
      <alignment horizontal="right"/>
    </xf>
    <xf numFmtId="173" fontId="22" fillId="0" borderId="36" applyAlignment="1" pivotButton="0" quotePrefix="0" xfId="0">
      <alignment horizontal="right"/>
    </xf>
    <xf numFmtId="173" fontId="9" fillId="11" borderId="5" applyAlignment="1" pivotButton="0" quotePrefix="0" xfId="0">
      <alignment horizontal="right"/>
    </xf>
    <xf numFmtId="0" fontId="47" fillId="0" borderId="0" pivotButton="0" quotePrefix="0" xfId="0"/>
    <xf numFmtId="0" fontId="24" fillId="0" borderId="0" applyAlignment="1" pivotButton="0" quotePrefix="0" xfId="0">
      <alignment horizontal="left" indent="1"/>
    </xf>
    <xf numFmtId="173" fontId="9" fillId="0" borderId="0" applyAlignment="1" pivotButton="0" quotePrefix="0" xfId="0">
      <alignment horizontal="right"/>
    </xf>
    <xf numFmtId="173" fontId="10" fillId="0" borderId="0" applyAlignment="1" pivotButton="0" quotePrefix="0" xfId="0">
      <alignment horizontal="right"/>
    </xf>
    <xf numFmtId="173" fontId="10" fillId="0" borderId="36" applyAlignment="1" pivotButton="0" quotePrefix="0" xfId="0">
      <alignment horizontal="right"/>
    </xf>
    <xf numFmtId="0" fontId="21" fillId="0" borderId="1" applyAlignment="1" pivotButton="0" quotePrefix="0" xfId="0">
      <alignment horizontal="left"/>
    </xf>
    <xf numFmtId="174" fontId="21" fillId="0" borderId="1" applyAlignment="1" pivotButton="0" quotePrefix="0" xfId="0">
      <alignment horizontal="right"/>
    </xf>
    <xf numFmtId="174" fontId="21" fillId="0" borderId="37" applyAlignment="1" pivotButton="0" quotePrefix="0" xfId="0">
      <alignment horizontal="right"/>
    </xf>
    <xf numFmtId="0" fontId="9" fillId="8" borderId="26" applyAlignment="1" pivotButton="0" quotePrefix="0" xfId="0">
      <alignment horizontal="left" indent="1"/>
    </xf>
    <xf numFmtId="0" fontId="17" fillId="8" borderId="26" pivotButton="0" quotePrefix="0" xfId="0"/>
    <xf numFmtId="173" fontId="9" fillId="8" borderId="26" applyAlignment="1" pivotButton="0" quotePrefix="0" xfId="0">
      <alignment horizontal="right"/>
    </xf>
    <xf numFmtId="173" fontId="10" fillId="8" borderId="26" applyAlignment="1" pivotButton="0" quotePrefix="0" xfId="0">
      <alignment horizontal="right"/>
    </xf>
    <xf numFmtId="173" fontId="10" fillId="8" borderId="40" applyAlignment="1" pivotButton="0" quotePrefix="0" xfId="0">
      <alignment horizontal="right"/>
    </xf>
    <xf numFmtId="0" fontId="19" fillId="0" borderId="0" pivotButton="0" quotePrefix="1" xfId="0"/>
    <xf numFmtId="171" fontId="10" fillId="0" borderId="0" pivotButton="0" quotePrefix="0" xfId="0"/>
    <xf numFmtId="0" fontId="2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Continuous"/>
    </xf>
    <xf numFmtId="171" fontId="10" fillId="0" borderId="0" applyAlignment="1" pivotButton="0" quotePrefix="0" xfId="0">
      <alignment horizontal="center"/>
    </xf>
    <xf numFmtId="0" fontId="17" fillId="0" borderId="6" pivotButton="0" quotePrefix="1" xfId="2"/>
    <xf numFmtId="0" fontId="17" fillId="0" borderId="6" pivotButton="0" quotePrefix="0" xfId="2"/>
    <xf numFmtId="165" fontId="17" fillId="0" borderId="6" pivotButton="0" quotePrefix="0" xfId="2"/>
    <xf numFmtId="0" fontId="22" fillId="0" borderId="1" pivotButton="0" quotePrefix="1" xfId="2"/>
    <xf numFmtId="0" fontId="17" fillId="0" borderId="1" pivotButton="0" quotePrefix="0" xfId="2"/>
    <xf numFmtId="0" fontId="22" fillId="0" borderId="0" pivotButton="0" quotePrefix="1" xfId="2"/>
    <xf numFmtId="0" fontId="22" fillId="0" borderId="0" pivotButton="0" quotePrefix="0" xfId="2"/>
    <xf numFmtId="0" fontId="22" fillId="4" borderId="17" applyAlignment="1" pivotButton="0" quotePrefix="1" xfId="2">
      <alignment vertical="center"/>
    </xf>
    <xf numFmtId="0" fontId="22" fillId="4" borderId="7" applyAlignment="1" pivotButton="0" quotePrefix="0" xfId="2">
      <alignment vertical="center"/>
    </xf>
    <xf numFmtId="166" fontId="22" fillId="4" borderId="7" applyAlignment="1" pivotButton="0" quotePrefix="0" xfId="2">
      <alignment vertical="center"/>
    </xf>
    <xf numFmtId="168" fontId="22" fillId="0" borderId="1" pivotButton="0" quotePrefix="0" xfId="2"/>
    <xf numFmtId="0" fontId="23" fillId="11" borderId="22" applyAlignment="1" pivotButton="0" quotePrefix="0" xfId="2">
      <alignment vertical="center"/>
    </xf>
    <xf numFmtId="0" fontId="23" fillId="11" borderId="23" pivotButton="0" quotePrefix="0" xfId="2"/>
    <xf numFmtId="166" fontId="23" fillId="11" borderId="23" applyAlignment="1" pivotButton="0" quotePrefix="0" xfId="2">
      <alignment vertical="center"/>
    </xf>
    <xf numFmtId="174" fontId="45" fillId="0" borderId="0" pivotButton="0" quotePrefix="0" xfId="0"/>
    <xf numFmtId="174" fontId="45" fillId="0" borderId="36" pivotButton="0" quotePrefix="0" xfId="0"/>
    <xf numFmtId="0" fontId="10" fillId="0" borderId="36" pivotButton="0" quotePrefix="0" xfId="0"/>
    <xf numFmtId="0" fontId="21" fillId="2" borderId="0" pivotButton="0" quotePrefix="0" xfId="0"/>
    <xf numFmtId="174" fontId="45" fillId="2" borderId="0" pivotButton="0" quotePrefix="0" xfId="0"/>
    <xf numFmtId="174" fontId="45" fillId="2" borderId="36" pivotButton="0" quotePrefix="0" xfId="0"/>
    <xf numFmtId="0" fontId="21" fillId="10" borderId="1" pivotButton="0" quotePrefix="0" xfId="0"/>
    <xf numFmtId="166" fontId="21" fillId="10" borderId="1" applyAlignment="1" pivotButton="0" quotePrefix="0" xfId="0">
      <alignment horizontal="right"/>
    </xf>
    <xf numFmtId="166" fontId="21" fillId="10" borderId="37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4" fillId="0" borderId="0" pivotButton="0" quotePrefix="0" xfId="0"/>
    <xf numFmtId="165" fontId="14" fillId="0" borderId="0" applyAlignment="1" pivotButton="0" quotePrefix="0" xfId="0">
      <alignment horizontal="right"/>
    </xf>
    <xf numFmtId="165" fontId="14" fillId="0" borderId="36" applyAlignment="1" pivotButton="0" quotePrefix="0" xfId="0">
      <alignment horizontal="right"/>
    </xf>
    <xf numFmtId="0" fontId="15" fillId="0" borderId="0" applyAlignment="1" pivotButton="0" quotePrefix="0" xfId="0">
      <alignment horizontal="right"/>
    </xf>
    <xf numFmtId="165" fontId="15" fillId="0" borderId="0" applyAlignment="1" pivotButton="0" quotePrefix="0" xfId="0">
      <alignment horizontal="right"/>
    </xf>
    <xf numFmtId="0" fontId="17" fillId="0" borderId="1" applyAlignment="1" pivotButton="0" quotePrefix="0" xfId="0">
      <alignment horizontal="left"/>
    </xf>
    <xf numFmtId="0" fontId="29" fillId="0" borderId="0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41" fillId="0" borderId="0" applyAlignment="1" pivotButton="0" quotePrefix="0" xfId="0">
      <alignment horizontal="left"/>
    </xf>
    <xf numFmtId="0" fontId="41" fillId="0" borderId="0" applyAlignment="1" pivotButton="0" quotePrefix="1" xfId="0">
      <alignment horizontal="left"/>
    </xf>
    <xf numFmtId="0" fontId="10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0" fontId="41" fillId="0" borderId="8" applyAlignment="1" pivotButton="0" quotePrefix="0" xfId="0">
      <alignment horizontal="left"/>
    </xf>
    <xf numFmtId="0" fontId="41" fillId="0" borderId="8" pivotButton="0" quotePrefix="0" xfId="0"/>
    <xf numFmtId="173" fontId="41" fillId="0" borderId="8" applyAlignment="1" pivotButton="0" quotePrefix="0" xfId="0">
      <alignment horizontal="right"/>
    </xf>
    <xf numFmtId="0" fontId="9" fillId="0" borderId="8" applyAlignment="1" pivotButton="0" quotePrefix="0" xfId="0">
      <alignment horizontal="left"/>
    </xf>
    <xf numFmtId="0" fontId="19" fillId="0" borderId="8" pivotButton="0" quotePrefix="0" xfId="0"/>
    <xf numFmtId="173" fontId="10" fillId="0" borderId="8" applyAlignment="1" pivotButton="0" quotePrefix="0" xfId="0">
      <alignment horizontal="right"/>
    </xf>
    <xf numFmtId="173" fontId="10" fillId="0" borderId="69" applyAlignment="1" pivotButton="0" quotePrefix="0" xfId="0">
      <alignment horizontal="right"/>
    </xf>
    <xf numFmtId="0" fontId="17" fillId="0" borderId="8" pivotButton="0" quotePrefix="0" xfId="0"/>
    <xf numFmtId="174" fontId="9" fillId="0" borderId="0" applyAlignment="1" pivotButton="0" quotePrefix="0" xfId="0">
      <alignment horizontal="right"/>
    </xf>
    <xf numFmtId="0" fontId="23" fillId="10" borderId="1" pivotButton="0" quotePrefix="0" xfId="0"/>
    <xf numFmtId="0" fontId="22" fillId="10" borderId="1" pivotButton="0" quotePrefix="0" xfId="0"/>
    <xf numFmtId="174" fontId="23" fillId="10" borderId="1" applyAlignment="1" pivotButton="0" quotePrefix="0" xfId="0">
      <alignment horizontal="right"/>
    </xf>
    <xf numFmtId="174" fontId="22" fillId="10" borderId="1" applyAlignment="1" pivotButton="0" quotePrefix="0" xfId="0">
      <alignment horizontal="right"/>
    </xf>
    <xf numFmtId="174" fontId="22" fillId="10" borderId="37" applyAlignment="1" pivotButton="0" quotePrefix="0" xfId="0">
      <alignment horizontal="right"/>
    </xf>
    <xf numFmtId="0" fontId="23" fillId="2" borderId="0" pivotButton="0" quotePrefix="0" xfId="0"/>
    <xf numFmtId="0" fontId="22" fillId="2" borderId="0" pivotButton="0" quotePrefix="0" xfId="0"/>
    <xf numFmtId="174" fontId="23" fillId="2" borderId="0" applyAlignment="1" pivotButton="0" quotePrefix="0" xfId="0">
      <alignment horizontal="right"/>
    </xf>
    <xf numFmtId="174" fontId="22" fillId="2" borderId="0" applyAlignment="1" pivotButton="0" quotePrefix="0" xfId="0">
      <alignment horizontal="right"/>
    </xf>
    <xf numFmtId="174" fontId="22" fillId="2" borderId="36" applyAlignment="1" pivotButton="0" quotePrefix="0" xfId="0">
      <alignment horizontal="right"/>
    </xf>
    <xf numFmtId="0" fontId="22" fillId="2" borderId="1" pivotButton="0" quotePrefix="0" xfId="0"/>
    <xf numFmtId="174" fontId="22" fillId="2" borderId="1" applyAlignment="1" pivotButton="0" quotePrefix="0" xfId="0">
      <alignment horizontal="right"/>
    </xf>
    <xf numFmtId="174" fontId="22" fillId="2" borderId="37" applyAlignment="1" pivotButton="0" quotePrefix="0" xfId="0">
      <alignment horizontal="right"/>
    </xf>
    <xf numFmtId="0" fontId="46" fillId="0" borderId="0" applyAlignment="1" pivotButton="0" quotePrefix="0" xfId="0">
      <alignment horizontal="center" vertical="center"/>
    </xf>
    <xf numFmtId="0" fontId="22" fillId="11" borderId="4" pivotButton="0" quotePrefix="0" xfId="0"/>
    <xf numFmtId="0" fontId="17" fillId="11" borderId="4" pivotButton="0" quotePrefix="0" xfId="0"/>
    <xf numFmtId="166" fontId="21" fillId="11" borderId="4" pivotButton="0" quotePrefix="0" xfId="0"/>
    <xf numFmtId="174" fontId="21" fillId="11" borderId="4" applyAlignment="1" pivotButton="0" quotePrefix="0" xfId="0">
      <alignment horizontal="right"/>
    </xf>
    <xf numFmtId="174" fontId="21" fillId="11" borderId="28" applyAlignment="1" pivotButton="0" quotePrefix="0" xfId="0">
      <alignment horizontal="right"/>
    </xf>
    <xf numFmtId="174" fontId="21" fillId="11" borderId="39" applyAlignment="1" pivotButton="0" quotePrefix="0" xfId="0">
      <alignment horizontal="right"/>
    </xf>
    <xf numFmtId="0" fontId="10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horizontal="center" vertical="center"/>
    </xf>
    <xf numFmtId="0" fontId="14" fillId="0" borderId="1" pivotButton="0" quotePrefix="0" xfId="0"/>
    <xf numFmtId="0" fontId="14" fillId="0" borderId="11" pivotButton="0" quotePrefix="0" xfId="0"/>
    <xf numFmtId="0" fontId="14" fillId="0" borderId="14" pivotButton="0" quotePrefix="0" xfId="0"/>
    <xf numFmtId="0" fontId="14" fillId="0" borderId="13" pivotButton="0" quotePrefix="0" xfId="0"/>
    <xf numFmtId="0" fontId="48" fillId="0" borderId="12" pivotButton="0" quotePrefix="0" xfId="0"/>
    <xf numFmtId="0" fontId="48" fillId="0" borderId="13" pivotButton="0" quotePrefix="0" xfId="0"/>
    <xf numFmtId="0" fontId="49" fillId="0" borderId="0" applyAlignment="1" pivotButton="0" quotePrefix="0" xfId="0">
      <alignment horizontal="center"/>
    </xf>
    <xf numFmtId="0" fontId="50" fillId="0" borderId="0" pivotButton="0" quotePrefix="0" xfId="0"/>
    <xf numFmtId="0" fontId="51" fillId="0" borderId="0" applyAlignment="1" pivotButton="0" quotePrefix="0" xfId="1">
      <alignment horizontal="centerContinuous"/>
    </xf>
    <xf numFmtId="0" fontId="5" fillId="0" borderId="0" applyAlignment="1" pivotButton="0" quotePrefix="0" xfId="4">
      <alignment horizontal="right"/>
    </xf>
    <xf numFmtId="166" fontId="12" fillId="4" borderId="49" applyAlignment="1" pivotButton="0" quotePrefix="0" xfId="0">
      <alignment horizontal="right"/>
    </xf>
    <xf numFmtId="166" fontId="12" fillId="4" borderId="50" applyAlignment="1" pivotButton="0" quotePrefix="0" xfId="0">
      <alignment horizontal="right"/>
    </xf>
    <xf numFmtId="0" fontId="34" fillId="4" borderId="52" applyAlignment="1" pivotButton="0" quotePrefix="0" xfId="0">
      <alignment horizontal="center"/>
    </xf>
    <xf numFmtId="172" fontId="14" fillId="4" borderId="52" applyAlignment="1" pivotButton="0" quotePrefix="0" xfId="0">
      <alignment horizontal="right"/>
    </xf>
    <xf numFmtId="172" fontId="14" fillId="4" borderId="53" applyAlignment="1" pivotButton="0" quotePrefix="0" xfId="0">
      <alignment horizontal="right"/>
    </xf>
    <xf numFmtId="173" fontId="41" fillId="0" borderId="36" applyAlignment="1" pivotButton="0" quotePrefix="0" xfId="0">
      <alignment horizontal="right"/>
    </xf>
    <xf numFmtId="173" fontId="41" fillId="0" borderId="69" applyAlignment="1" pivotButton="0" quotePrefix="0" xfId="0">
      <alignment horizontal="right"/>
    </xf>
    <xf numFmtId="174" fontId="45" fillId="0" borderId="0" applyAlignment="1" pivotButton="0" quotePrefix="0" xfId="0">
      <alignment horizontal="right"/>
    </xf>
    <xf numFmtId="0" fontId="45" fillId="0" borderId="0" applyAlignment="1" pivotButton="0" quotePrefix="0" xfId="0">
      <alignment horizontal="left"/>
    </xf>
    <xf numFmtId="173" fontId="9" fillId="11" borderId="30" applyAlignment="1" pivotButton="0" quotePrefix="0" xfId="0">
      <alignment horizontal="right"/>
    </xf>
    <xf numFmtId="165" fontId="9" fillId="11" borderId="5" applyAlignment="1" pivotButton="0" quotePrefix="0" xfId="0">
      <alignment horizontal="right"/>
    </xf>
    <xf numFmtId="174" fontId="24" fillId="0" borderId="27" applyAlignment="1" pivotButton="0" quotePrefix="0" xfId="0">
      <alignment horizontal="right"/>
    </xf>
    <xf numFmtId="167" fontId="41" fillId="0" borderId="0" applyAlignment="1" pivotButton="0" quotePrefix="0" xfId="0">
      <alignment horizontal="right"/>
    </xf>
    <xf numFmtId="173" fontId="24" fillId="0" borderId="27" applyAlignment="1" pivotButton="0" quotePrefix="0" xfId="0">
      <alignment horizontal="right"/>
    </xf>
    <xf numFmtId="173" fontId="24" fillId="0" borderId="41" applyAlignment="1" pivotButton="0" quotePrefix="0" xfId="0">
      <alignment horizontal="right"/>
    </xf>
    <xf numFmtId="166" fontId="10" fillId="0" borderId="0" pivotButton="0" quotePrefix="0" xfId="0"/>
    <xf numFmtId="0" fontId="21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 indent="1"/>
    </xf>
    <xf numFmtId="0" fontId="41" fillId="0" borderId="0" applyAlignment="1" pivotButton="0" quotePrefix="0" xfId="0">
      <alignment horizontal="left" indent="1"/>
    </xf>
    <xf numFmtId="165" fontId="41" fillId="0" borderId="0" applyAlignment="1" pivotButton="0" quotePrefix="0" xfId="0">
      <alignment horizontal="right"/>
    </xf>
    <xf numFmtId="0" fontId="21" fillId="2" borderId="17" applyAlignment="1" pivotButton="0" quotePrefix="0" xfId="0">
      <alignment horizontal="left"/>
    </xf>
    <xf numFmtId="0" fontId="21" fillId="2" borderId="7" pivotButton="0" quotePrefix="0" xfId="0"/>
    <xf numFmtId="174" fontId="21" fillId="2" borderId="7" applyAlignment="1" pivotButton="0" quotePrefix="0" xfId="0">
      <alignment horizontal="right"/>
    </xf>
    <xf numFmtId="174" fontId="21" fillId="2" borderId="10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0" fontId="15" fillId="0" borderId="13" pivotButton="0" quotePrefix="0" xfId="0"/>
    <xf numFmtId="174" fontId="41" fillId="0" borderId="0" pivotButton="0" quotePrefix="0" xfId="0"/>
    <xf numFmtId="174" fontId="41" fillId="0" borderId="36" pivotButton="0" quotePrefix="0" xfId="0"/>
    <xf numFmtId="0" fontId="45" fillId="2" borderId="0" pivotButton="0" quotePrefix="0" xfId="0"/>
    <xf numFmtId="0" fontId="15" fillId="0" borderId="15" pivotButton="0" quotePrefix="0" xfId="0"/>
    <xf numFmtId="0" fontId="15" fillId="0" borderId="8" pivotButton="0" quotePrefix="0" xfId="0"/>
    <xf numFmtId="173" fontId="15" fillId="0" borderId="0" applyAlignment="1" pivotButton="0" quotePrefix="0" xfId="0">
      <alignment horizontal="right"/>
    </xf>
    <xf numFmtId="173" fontId="15" fillId="0" borderId="14" applyAlignment="1" pivotButton="0" quotePrefix="0" xfId="0">
      <alignment horizontal="right"/>
    </xf>
    <xf numFmtId="165" fontId="15" fillId="0" borderId="14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0" borderId="14" applyAlignment="1" pivotButton="0" quotePrefix="0" xfId="0">
      <alignment horizontal="right"/>
    </xf>
    <xf numFmtId="169" fontId="15" fillId="0" borderId="8" applyAlignment="1" pivotButton="0" quotePrefix="0" xfId="0">
      <alignment horizontal="right"/>
    </xf>
    <xf numFmtId="169" fontId="15" fillId="0" borderId="16" applyAlignment="1" pivotButton="0" quotePrefix="0" xfId="0">
      <alignment horizontal="right"/>
    </xf>
    <xf numFmtId="175" fontId="10" fillId="0" borderId="0" applyAlignment="1" pivotButton="0" quotePrefix="0" xfId="0">
      <alignment horizontal="right"/>
    </xf>
    <xf numFmtId="174" fontId="21" fillId="2" borderId="36" applyAlignment="1" pivotButton="0" quotePrefix="0" xfId="0">
      <alignment horizontal="right"/>
    </xf>
    <xf numFmtId="169" fontId="10" fillId="0" borderId="36" applyAlignment="1" pivotButton="0" quotePrefix="0" xfId="0">
      <alignment horizontal="right"/>
    </xf>
    <xf numFmtId="165" fontId="41" fillId="0" borderId="36" applyAlignment="1" pivotButton="0" quotePrefix="0" xfId="0">
      <alignment horizontal="right"/>
    </xf>
    <xf numFmtId="165" fontId="10" fillId="0" borderId="36" applyAlignment="1" pivotButton="0" quotePrefix="0" xfId="0">
      <alignment horizontal="right"/>
    </xf>
    <xf numFmtId="175" fontId="10" fillId="0" borderId="36" applyAlignment="1" pivotButton="0" quotePrefix="0" xfId="0">
      <alignment horizontal="right"/>
    </xf>
    <xf numFmtId="165" fontId="15" fillId="0" borderId="36" applyAlignment="1" pivotButton="0" quotePrefix="0" xfId="0">
      <alignment horizontal="right"/>
    </xf>
    <xf numFmtId="175" fontId="15" fillId="0" borderId="0" applyAlignment="1" pivotButton="0" quotePrefix="0" xfId="0">
      <alignment horizontal="right"/>
    </xf>
    <xf numFmtId="175" fontId="15" fillId="0" borderId="36" applyAlignment="1" pivotButton="0" quotePrefix="0" xfId="0">
      <alignment horizontal="right"/>
    </xf>
    <xf numFmtId="175" fontId="15" fillId="0" borderId="14" applyAlignment="1" pivotButton="0" quotePrefix="0" xfId="0">
      <alignment horizontal="right"/>
    </xf>
    <xf numFmtId="168" fontId="10" fillId="0" borderId="36" applyAlignment="1" pivotButton="0" quotePrefix="0" xfId="0">
      <alignment horizontal="right"/>
    </xf>
    <xf numFmtId="0" fontId="46" fillId="0" borderId="1" applyAlignment="1" pivotButton="0" quotePrefix="0" xfId="0">
      <alignment horizontal="left" indent="1"/>
    </xf>
    <xf numFmtId="168" fontId="9" fillId="0" borderId="36" applyAlignment="1" pivotButton="0" quotePrefix="0" xfId="0">
      <alignment horizontal="right"/>
    </xf>
    <xf numFmtId="165" fontId="9" fillId="10" borderId="5" applyAlignment="1" pivotButton="0" quotePrefix="0" xfId="0">
      <alignment horizontal="right"/>
    </xf>
    <xf numFmtId="170" fontId="9" fillId="10" borderId="5" applyAlignment="1" pivotButton="0" quotePrefix="0" xfId="0">
      <alignment horizontal="right"/>
    </xf>
    <xf numFmtId="165" fontId="10" fillId="0" borderId="8" applyAlignment="1" pivotButton="0" quotePrefix="0" xfId="0">
      <alignment horizontal="right"/>
    </xf>
    <xf numFmtId="174" fontId="22" fillId="0" borderId="1" applyAlignment="1" pivotButton="0" quotePrefix="0" xfId="2">
      <alignment horizontal="right"/>
    </xf>
    <xf numFmtId="173" fontId="17" fillId="0" borderId="0" applyAlignment="1" pivotButton="0" quotePrefix="0" xfId="2">
      <alignment horizontal="right"/>
    </xf>
    <xf numFmtId="173" fontId="41" fillId="0" borderId="6" applyAlignment="1" pivotButton="0" quotePrefix="0" xfId="2">
      <alignment horizontal="right"/>
    </xf>
    <xf numFmtId="174" fontId="41" fillId="0" borderId="6" applyAlignment="1" pivotButton="0" quotePrefix="0" xfId="2">
      <alignment horizontal="right"/>
    </xf>
    <xf numFmtId="174" fontId="41" fillId="0" borderId="0" applyAlignment="1" pivotButton="0" quotePrefix="0" xfId="2">
      <alignment horizontal="right"/>
    </xf>
    <xf numFmtId="174" fontId="22" fillId="4" borderId="10" applyAlignment="1" pivotButton="0" quotePrefix="0" xfId="2">
      <alignment horizontal="right" vertical="center"/>
    </xf>
    <xf numFmtId="174" fontId="17" fillId="0" borderId="0" applyAlignment="1" pivotButton="0" quotePrefix="0" xfId="2">
      <alignment horizontal="right"/>
    </xf>
    <xf numFmtId="174" fontId="23" fillId="11" borderId="24" applyAlignment="1" pivotButton="0" quotePrefix="0" xfId="2">
      <alignment horizontal="right" vertical="center"/>
    </xf>
    <xf numFmtId="167" fontId="24" fillId="0" borderId="0" applyAlignment="1" pivotButton="0" quotePrefix="0" xfId="2">
      <alignment horizontal="right"/>
    </xf>
    <xf numFmtId="167" fontId="17" fillId="0" borderId="0" applyAlignment="1" pivotButton="0" quotePrefix="0" xfId="2">
      <alignment horizontal="right"/>
    </xf>
    <xf numFmtId="0" fontId="10" fillId="0" borderId="0" applyAlignment="1" pivotButton="0" quotePrefix="0" xfId="0">
      <alignment horizontal="right"/>
    </xf>
    <xf numFmtId="0" fontId="17" fillId="0" borderId="0" applyAlignment="1" pivotButton="0" quotePrefix="0" xfId="2">
      <alignment horizontal="right"/>
    </xf>
    <xf numFmtId="0" fontId="20" fillId="7" borderId="63" applyAlignment="1" pivotButton="0" quotePrefix="0" xfId="0">
      <alignment horizontal="right" vertical="center"/>
    </xf>
    <xf numFmtId="0" fontId="20" fillId="7" borderId="58" applyAlignment="1" pivotButton="0" quotePrefix="0" xfId="0">
      <alignment horizontal="right" vertical="center"/>
    </xf>
    <xf numFmtId="165" fontId="17" fillId="0" borderId="6" applyAlignment="1" pivotButton="0" quotePrefix="0" xfId="2">
      <alignment horizontal="right"/>
    </xf>
    <xf numFmtId="0" fontId="22" fillId="0" borderId="0" applyAlignment="1" pivotButton="0" quotePrefix="0" xfId="2">
      <alignment horizontal="right"/>
    </xf>
    <xf numFmtId="165" fontId="17" fillId="0" borderId="0" applyAlignment="1" pivotButton="0" quotePrefix="0" xfId="2">
      <alignment horizontal="right"/>
    </xf>
    <xf numFmtId="0" fontId="20" fillId="5" borderId="21" applyAlignment="1" pivotButton="0" quotePrefix="0" xfId="1">
      <alignment horizontal="right" vertical="center"/>
    </xf>
    <xf numFmtId="0" fontId="20" fillId="0" borderId="0" applyAlignment="1" pivotButton="0" quotePrefix="0" xfId="1">
      <alignment horizontal="right" vertical="center"/>
    </xf>
    <xf numFmtId="167" fontId="22" fillId="0" borderId="1" applyAlignment="1" pivotButton="0" quotePrefix="0" xfId="2">
      <alignment horizontal="right"/>
    </xf>
    <xf numFmtId="165" fontId="22" fillId="0" borderId="1" applyAlignment="1" pivotButton="0" quotePrefix="0" xfId="2">
      <alignment horizontal="right"/>
    </xf>
    <xf numFmtId="0" fontId="25" fillId="3" borderId="21" applyAlignment="1" pivotButton="0" quotePrefix="0" xfId="1">
      <alignment horizontal="right" vertical="center"/>
    </xf>
    <xf numFmtId="167" fontId="22" fillId="0" borderId="0" applyAlignment="1" pivotButton="0" quotePrefix="0" xfId="2">
      <alignment horizontal="right"/>
    </xf>
    <xf numFmtId="167" fontId="22" fillId="11" borderId="10" applyAlignment="1" pivotButton="0" quotePrefix="0" xfId="2">
      <alignment horizontal="right" vertical="center"/>
    </xf>
    <xf numFmtId="171" fontId="10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right"/>
    </xf>
    <xf numFmtId="174" fontId="45" fillId="0" borderId="36" applyAlignment="1" pivotButton="0" quotePrefix="0" xfId="0">
      <alignment horizontal="right"/>
    </xf>
    <xf numFmtId="0" fontId="15" fillId="0" borderId="0" applyAlignment="1" pivotButton="0" quotePrefix="0" xfId="0">
      <alignment horizontal="left"/>
    </xf>
    <xf numFmtId="174" fontId="45" fillId="2" borderId="0" applyAlignment="1" pivotButton="0" quotePrefix="0" xfId="0">
      <alignment horizontal="right"/>
    </xf>
    <xf numFmtId="174" fontId="45" fillId="2" borderId="36" applyAlignment="1" pivotButton="0" quotePrefix="0" xfId="0">
      <alignment horizontal="right"/>
    </xf>
    <xf numFmtId="0" fontId="45" fillId="0" borderId="1" pivotButton="0" quotePrefix="0" xfId="0"/>
    <xf numFmtId="174" fontId="45" fillId="0" borderId="1" applyAlignment="1" pivotButton="0" quotePrefix="0" xfId="0">
      <alignment horizontal="right"/>
    </xf>
    <xf numFmtId="174" fontId="45" fillId="0" borderId="37" applyAlignment="1" pivotButton="0" quotePrefix="0" xfId="0">
      <alignment horizontal="right"/>
    </xf>
    <xf numFmtId="0" fontId="54" fillId="0" borderId="0" pivotButton="0" quotePrefix="0" xfId="0"/>
    <xf numFmtId="173" fontId="0" fillId="0" borderId="0" applyAlignment="1" pivotButton="0" quotePrefix="0" xfId="0">
      <alignment horizontal="right"/>
    </xf>
    <xf numFmtId="169" fontId="9" fillId="0" borderId="5" applyAlignment="1" pivotButton="0" quotePrefix="0" xfId="0">
      <alignment horizontal="right"/>
    </xf>
    <xf numFmtId="165" fontId="24" fillId="0" borderId="0" pivotButton="0" quotePrefix="0" xfId="0"/>
    <xf numFmtId="165" fontId="9" fillId="0" borderId="5" applyAlignment="1" pivotButton="0" quotePrefix="0" xfId="0">
      <alignment horizontal="right"/>
    </xf>
    <xf numFmtId="0" fontId="23" fillId="14" borderId="71" applyAlignment="1" pivotButton="0" quotePrefix="0" xfId="0">
      <alignment horizontal="centerContinuous" vertical="center"/>
    </xf>
    <xf numFmtId="0" fontId="23" fillId="14" borderId="70" applyAlignment="1" pivotButton="0" quotePrefix="0" xfId="0">
      <alignment horizontal="centerContinuous" vertical="center"/>
    </xf>
    <xf numFmtId="0" fontId="23" fillId="14" borderId="72" applyAlignment="1" pivotButton="0" quotePrefix="0" xfId="0">
      <alignment horizontal="centerContinuous" vertical="center"/>
    </xf>
    <xf numFmtId="0" fontId="10" fillId="0" borderId="1" pivotButton="0" quotePrefix="0" xfId="0"/>
    <xf numFmtId="0" fontId="23" fillId="15" borderId="71" applyAlignment="1" pivotButton="0" quotePrefix="0" xfId="0">
      <alignment horizontal="centerContinuous" vertical="center"/>
    </xf>
    <xf numFmtId="0" fontId="23" fillId="15" borderId="70" applyAlignment="1" pivotButton="0" quotePrefix="0" xfId="0">
      <alignment horizontal="centerContinuous" vertical="center"/>
    </xf>
    <xf numFmtId="0" fontId="23" fillId="15" borderId="72" applyAlignment="1" pivotButton="0" quotePrefix="0" xfId="0">
      <alignment horizontal="centerContinuous" vertical="center"/>
    </xf>
    <xf numFmtId="0" fontId="55" fillId="0" borderId="0" pivotButton="0" quotePrefix="0" xfId="0"/>
    <xf numFmtId="0" fontId="9" fillId="0" borderId="0" applyAlignment="1" pivotButton="0" quotePrefix="0" xfId="1">
      <alignment horizontal="center"/>
    </xf>
    <xf numFmtId="0" fontId="25" fillId="6" borderId="0" applyAlignment="1" pivotButton="0" quotePrefix="0" xfId="0">
      <alignment horizontal="center" wrapText="1"/>
    </xf>
    <xf numFmtId="0" fontId="14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 indent="1"/>
    </xf>
    <xf numFmtId="173" fontId="19" fillId="0" borderId="0" applyAlignment="1" pivotButton="0" quotePrefix="0" xfId="0">
      <alignment horizontal="right"/>
    </xf>
    <xf numFmtId="0" fontId="23" fillId="13" borderId="0" pivotButton="0" quotePrefix="0" xfId="0"/>
    <xf numFmtId="0" fontId="10" fillId="0" borderId="73" pivotButton="0" quotePrefix="0" xfId="0"/>
    <xf numFmtId="0" fontId="23" fillId="0" borderId="73" pivotButton="0" quotePrefix="0" xfId="0"/>
    <xf numFmtId="173" fontId="0" fillId="0" borderId="73" applyAlignment="1" pivotButton="0" quotePrefix="0" xfId="0">
      <alignment horizontal="right"/>
    </xf>
    <xf numFmtId="174" fontId="23" fillId="0" borderId="73" applyAlignment="1" pivotButton="0" quotePrefix="0" xfId="0">
      <alignment horizontal="right"/>
    </xf>
    <xf numFmtId="0" fontId="0" fillId="0" borderId="73" pivotButton="0" quotePrefix="0" xfId="0"/>
    <xf numFmtId="174" fontId="19" fillId="17" borderId="0" applyAlignment="1" pivotButton="0" quotePrefix="0" xfId="0">
      <alignment horizontal="right"/>
    </xf>
    <xf numFmtId="173" fontId="19" fillId="17" borderId="0" applyAlignment="1" pivotButton="0" quotePrefix="0" xfId="0">
      <alignment horizontal="right"/>
    </xf>
    <xf numFmtId="174" fontId="23" fillId="17" borderId="1" applyAlignment="1" pivotButton="0" quotePrefix="0" xfId="0">
      <alignment horizontal="right"/>
    </xf>
    <xf numFmtId="173" fontId="23" fillId="17" borderId="0" applyAlignment="1" pivotButton="0" quotePrefix="0" xfId="0">
      <alignment horizontal="right"/>
    </xf>
    <xf numFmtId="174" fontId="19" fillId="17" borderId="73" applyAlignment="1" pivotButton="0" quotePrefix="0" xfId="0">
      <alignment horizontal="right"/>
    </xf>
    <xf numFmtId="173" fontId="19" fillId="17" borderId="73" applyAlignment="1" pivotButton="0" quotePrefix="0" xfId="0">
      <alignment horizontal="right"/>
    </xf>
    <xf numFmtId="174" fontId="23" fillId="17" borderId="74" applyAlignment="1" pivotButton="0" quotePrefix="0" xfId="0">
      <alignment horizontal="right"/>
    </xf>
    <xf numFmtId="173" fontId="11" fillId="17" borderId="0" applyAlignment="1" pivotButton="0" quotePrefix="0" xfId="0">
      <alignment horizontal="right"/>
    </xf>
    <xf numFmtId="173" fontId="11" fillId="17" borderId="73" applyAlignment="1" pivotButton="0" quotePrefix="0" xfId="0">
      <alignment horizontal="right"/>
    </xf>
    <xf numFmtId="173" fontId="11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left"/>
    </xf>
    <xf numFmtId="0" fontId="20" fillId="7" borderId="64" applyAlignment="1" pivotButton="0" quotePrefix="0" xfId="0">
      <alignment horizontal="center" vertical="center"/>
    </xf>
    <xf numFmtId="164" fontId="20" fillId="7" borderId="64" applyAlignment="1" pivotButton="0" quotePrefix="0" xfId="0">
      <alignment horizontal="center" vertical="center"/>
    </xf>
    <xf numFmtId="169" fontId="24" fillId="0" borderId="0" applyAlignment="1" pivotButton="0" quotePrefix="0" xfId="0">
      <alignment horizontal="right"/>
    </xf>
    <xf numFmtId="176" fontId="21" fillId="0" borderId="1" pivotButton="0" quotePrefix="0" xfId="0"/>
    <xf numFmtId="0" fontId="56" fillId="0" borderId="0" pivotButton="0" quotePrefix="0" xfId="0"/>
    <xf numFmtId="0" fontId="23" fillId="19" borderId="12" applyAlignment="1" pivotButton="0" quotePrefix="0" xfId="0">
      <alignment vertical="center"/>
    </xf>
    <xf numFmtId="0" fontId="23" fillId="19" borderId="1" applyAlignment="1" pivotButton="0" quotePrefix="0" xfId="0">
      <alignment vertical="center"/>
    </xf>
    <xf numFmtId="0" fontId="23" fillId="19" borderId="13" applyAlignment="1" pivotButton="0" quotePrefix="0" xfId="0">
      <alignment vertical="top"/>
    </xf>
    <xf numFmtId="0" fontId="23" fillId="19" borderId="0" applyAlignment="1" pivotButton="0" quotePrefix="0" xfId="0">
      <alignment vertical="top"/>
    </xf>
    <xf numFmtId="0" fontId="21" fillId="19" borderId="15" applyAlignment="1" pivotButton="0" quotePrefix="0" xfId="0">
      <alignment vertical="center"/>
    </xf>
    <xf numFmtId="0" fontId="10" fillId="19" borderId="8" applyAlignment="1" pivotButton="0" quotePrefix="0" xfId="0">
      <alignment vertical="center"/>
    </xf>
    <xf numFmtId="174" fontId="23" fillId="19" borderId="11" applyAlignment="1" pivotButton="0" quotePrefix="0" xfId="0">
      <alignment horizontal="right" vertical="center"/>
    </xf>
    <xf numFmtId="168" fontId="9" fillId="0" borderId="5" applyAlignment="1" pivotButton="0" quotePrefix="0" xfId="0">
      <alignment horizontal="right"/>
    </xf>
    <xf numFmtId="0" fontId="9" fillId="0" borderId="5" applyAlignment="1" pivotButton="0" quotePrefix="0" xfId="0">
      <alignment horizontal="centerContinuous"/>
    </xf>
    <xf numFmtId="174" fontId="9" fillId="0" borderId="5" applyAlignment="1" pivotButton="0" quotePrefix="0" xfId="0">
      <alignment horizontal="right"/>
    </xf>
    <xf numFmtId="174" fontId="23" fillId="19" borderId="76" applyAlignment="1" pivotButton="0" quotePrefix="0" xfId="0">
      <alignment horizontal="right" vertical="top"/>
    </xf>
    <xf numFmtId="169" fontId="23" fillId="19" borderId="75" applyAlignment="1" pivotButton="0" quotePrefix="0" xfId="0">
      <alignment horizontal="right" vertical="center"/>
    </xf>
    <xf numFmtId="0" fontId="21" fillId="19" borderId="4" pivotButton="0" quotePrefix="1" xfId="0"/>
    <xf numFmtId="0" fontId="21" fillId="19" borderId="4" pivotButton="0" quotePrefix="0" xfId="0"/>
    <xf numFmtId="0" fontId="21" fillId="19" borderId="1" pivotButton="0" quotePrefix="0" xfId="0"/>
    <xf numFmtId="177" fontId="23" fillId="19" borderId="1" applyAlignment="1" pivotButton="0" quotePrefix="0" xfId="0">
      <alignment horizontal="right"/>
    </xf>
    <xf numFmtId="0" fontId="21" fillId="19" borderId="0" pivotButton="0" quotePrefix="0" xfId="0"/>
    <xf numFmtId="0" fontId="21" fillId="0" borderId="0" pivotButton="0" quotePrefix="1" xfId="0"/>
    <xf numFmtId="165" fontId="9" fillId="0" borderId="9" applyAlignment="1" pivotButton="0" quotePrefix="0" xfId="0">
      <alignment horizontal="right"/>
    </xf>
    <xf numFmtId="172" fontId="9" fillId="0" borderId="5" applyAlignment="1" pivotButton="0" quotePrefix="0" xfId="0">
      <alignment horizontal="right"/>
    </xf>
    <xf numFmtId="175" fontId="10" fillId="0" borderId="1" applyAlignment="1" pivotButton="0" quotePrefix="0" xfId="0">
      <alignment horizontal="right"/>
    </xf>
    <xf numFmtId="174" fontId="21" fillId="19" borderId="1" applyAlignment="1" pivotButton="0" quotePrefix="0" xfId="0">
      <alignment horizontal="right"/>
    </xf>
    <xf numFmtId="174" fontId="23" fillId="13" borderId="0" applyAlignment="1" pivotButton="0" quotePrefix="0" xfId="0">
      <alignment horizontal="right"/>
    </xf>
    <xf numFmtId="173" fontId="19" fillId="17" borderId="1" applyAlignment="1" pivotButton="0" quotePrefix="0" xfId="0">
      <alignment horizontal="right"/>
    </xf>
    <xf numFmtId="174" fontId="19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centerContinuous"/>
    </xf>
    <xf numFmtId="169" fontId="20" fillId="7" borderId="78" applyAlignment="1" pivotButton="0" quotePrefix="0" xfId="0">
      <alignment horizontal="centerContinuous" vertical="center"/>
    </xf>
    <xf numFmtId="0" fontId="9" fillId="0" borderId="0" applyAlignment="1" pivotButton="0" quotePrefix="0" xfId="0">
      <alignment horizontal="centerContinuous"/>
    </xf>
    <xf numFmtId="0" fontId="22" fillId="0" borderId="0" applyAlignment="1" pivotButton="0" quotePrefix="0" xfId="0">
      <alignment horizontal="centerContinuous"/>
    </xf>
    <xf numFmtId="0" fontId="17" fillId="0" borderId="0" applyAlignment="1" pivotButton="0" quotePrefix="0" xfId="0">
      <alignment horizontal="centerContinuous"/>
    </xf>
    <xf numFmtId="169" fontId="25" fillId="7" borderId="77" applyAlignment="1" pivotButton="0" quotePrefix="0" xfId="0">
      <alignment horizontal="center" vertical="center"/>
    </xf>
    <xf numFmtId="169" fontId="25" fillId="7" borderId="18" applyAlignment="1" pivotButton="0" quotePrefix="0" xfId="0">
      <alignment horizontal="center" vertical="center"/>
    </xf>
    <xf numFmtId="169" fontId="20" fillId="7" borderId="79" applyAlignment="1" pivotButton="0" quotePrefix="0" xfId="0">
      <alignment horizontal="centerContinuous" vertical="center"/>
    </xf>
    <xf numFmtId="169" fontId="20" fillId="7" borderId="78" applyAlignment="1" pivotButton="0" quotePrefix="0" xfId="0">
      <alignment horizontal="center" vertical="center"/>
    </xf>
    <xf numFmtId="0" fontId="46" fillId="0" borderId="0" pivotButton="0" quotePrefix="0" xfId="0"/>
    <xf numFmtId="0" fontId="21" fillId="0" borderId="0" applyAlignment="1" pivotButton="0" quotePrefix="0" xfId="0">
      <alignment horizontal="right"/>
    </xf>
    <xf numFmtId="0" fontId="10" fillId="0" borderId="80" pivotButton="0" quotePrefix="0" xfId="0"/>
    <xf numFmtId="0" fontId="23" fillId="0" borderId="80" pivotButton="0" quotePrefix="0" xfId="0"/>
    <xf numFmtId="174" fontId="24" fillId="0" borderId="80" applyAlignment="1" pivotButton="0" quotePrefix="0" xfId="0">
      <alignment horizontal="right"/>
    </xf>
    <xf numFmtId="174" fontId="23" fillId="0" borderId="81" applyAlignment="1" pivotButton="0" quotePrefix="0" xfId="0">
      <alignment horizontal="right"/>
    </xf>
    <xf numFmtId="173" fontId="11" fillId="0" borderId="80" applyAlignment="1" pivotButton="0" quotePrefix="0" xfId="0">
      <alignment horizontal="right"/>
    </xf>
    <xf numFmtId="173" fontId="0" fillId="0" borderId="80" applyAlignment="1" pivotButton="0" quotePrefix="0" xfId="0">
      <alignment horizontal="right"/>
    </xf>
    <xf numFmtId="174" fontId="23" fillId="0" borderId="80" applyAlignment="1" pivotButton="0" quotePrefix="0" xfId="0">
      <alignment horizontal="right"/>
    </xf>
    <xf numFmtId="173" fontId="19" fillId="0" borderId="80" applyAlignment="1" pivotButton="0" quotePrefix="0" xfId="0">
      <alignment horizontal="right"/>
    </xf>
    <xf numFmtId="0" fontId="0" fillId="0" borderId="80" pivotButton="0" quotePrefix="0" xfId="0"/>
    <xf numFmtId="174" fontId="19" fillId="0" borderId="80" applyAlignment="1" pivotButton="0" quotePrefix="0" xfId="0">
      <alignment horizontal="right"/>
    </xf>
    <xf numFmtId="174" fontId="45" fillId="0" borderId="80" applyAlignment="1" pivotButton="0" quotePrefix="0" xfId="0">
      <alignment horizontal="right"/>
    </xf>
    <xf numFmtId="165" fontId="15" fillId="0" borderId="80" applyAlignment="1" pivotButton="0" quotePrefix="0" xfId="0">
      <alignment horizontal="right"/>
    </xf>
    <xf numFmtId="174" fontId="41" fillId="0" borderId="80" applyAlignment="1" pivotButton="0" quotePrefix="0" xfId="0">
      <alignment horizontal="right"/>
    </xf>
    <xf numFmtId="174" fontId="45" fillId="2" borderId="80" applyAlignment="1" pivotButton="0" quotePrefix="0" xfId="0">
      <alignment horizontal="right"/>
    </xf>
    <xf numFmtId="173" fontId="41" fillId="0" borderId="82" applyAlignment="1" pivotButton="0" quotePrefix="0" xfId="0">
      <alignment horizontal="right"/>
    </xf>
    <xf numFmtId="173" fontId="41" fillId="0" borderId="80" applyAlignment="1" pivotButton="0" quotePrefix="0" xfId="0">
      <alignment horizontal="right"/>
    </xf>
    <xf numFmtId="174" fontId="45" fillId="0" borderId="81" applyAlignment="1" pivotButton="0" quotePrefix="0" xfId="0">
      <alignment horizontal="right"/>
    </xf>
    <xf numFmtId="0" fontId="21" fillId="16" borderId="12" pivotButton="0" quotePrefix="0" xfId="0"/>
    <xf numFmtId="0" fontId="21" fillId="16" borderId="1" pivotButton="0" quotePrefix="0" xfId="0"/>
    <xf numFmtId="0" fontId="21" fillId="16" borderId="15" pivotButton="0" quotePrefix="0" xfId="0"/>
    <xf numFmtId="0" fontId="21" fillId="16" borderId="8" pivotButton="0" quotePrefix="0" xfId="0"/>
    <xf numFmtId="173" fontId="19" fillId="17" borderId="8" applyAlignment="1" pivotButton="0" quotePrefix="0" xfId="0">
      <alignment horizontal="right"/>
    </xf>
    <xf numFmtId="0" fontId="21" fillId="17" borderId="0" pivotButton="0" quotePrefix="0" xfId="0"/>
    <xf numFmtId="0" fontId="21" fillId="17" borderId="73" pivotButton="0" quotePrefix="0" xfId="0"/>
    <xf numFmtId="0" fontId="10" fillId="17" borderId="0" pivotButton="0" quotePrefix="0" xfId="0"/>
    <xf numFmtId="0" fontId="10" fillId="17" borderId="73" pivotButton="0" quotePrefix="0" xfId="0"/>
    <xf numFmtId="0" fontId="21" fillId="17" borderId="1" pivotButton="0" quotePrefix="0" xfId="0"/>
    <xf numFmtId="0" fontId="21" fillId="17" borderId="74" pivotButton="0" quotePrefix="0" xfId="0"/>
    <xf numFmtId="165" fontId="10" fillId="0" borderId="5" applyAlignment="1" pivotButton="0" quotePrefix="0" xfId="0">
      <alignment vertical="center"/>
    </xf>
    <xf numFmtId="165" fontId="10" fillId="4" borderId="5" applyAlignment="1" pivotButton="0" quotePrefix="0" xfId="0">
      <alignment vertical="center"/>
    </xf>
    <xf numFmtId="165" fontId="10" fillId="16" borderId="5" applyAlignment="1" pivotButton="0" quotePrefix="0" xfId="0">
      <alignment vertical="center"/>
    </xf>
    <xf numFmtId="169" fontId="10" fillId="0" borderId="5" applyAlignment="1" pivotButton="0" quotePrefix="0" xfId="0">
      <alignment horizontal="center" vertical="center"/>
    </xf>
    <xf numFmtId="169" fontId="10" fillId="4" borderId="5" applyAlignment="1" pivotButton="0" quotePrefix="0" xfId="0">
      <alignment horizontal="center" vertical="center"/>
    </xf>
    <xf numFmtId="169" fontId="10" fillId="16" borderId="5" applyAlignment="1" pivotButton="0" quotePrefix="0" xfId="0">
      <alignment horizontal="center" vertical="center"/>
    </xf>
    <xf numFmtId="165" fontId="21" fillId="16" borderId="1" applyAlignment="1" pivotButton="0" quotePrefix="0" xfId="0">
      <alignment horizontal="right"/>
    </xf>
    <xf numFmtId="169" fontId="21" fillId="16" borderId="1" applyAlignment="1" pivotButton="0" quotePrefix="0" xfId="0">
      <alignment horizontal="right"/>
    </xf>
    <xf numFmtId="169" fontId="21" fillId="16" borderId="11" applyAlignment="1" pivotButton="0" quotePrefix="0" xfId="0">
      <alignment horizontal="right"/>
    </xf>
    <xf numFmtId="165" fontId="21" fillId="16" borderId="8" applyAlignment="1" pivotButton="0" quotePrefix="0" xfId="0">
      <alignment horizontal="right"/>
    </xf>
    <xf numFmtId="165" fontId="21" fillId="16" borderId="16" applyAlignment="1" pivotButton="0" quotePrefix="0" xfId="0">
      <alignment horizontal="right"/>
    </xf>
    <xf numFmtId="173" fontId="10" fillId="0" borderId="80" applyAlignment="1" pivotButton="0" quotePrefix="0" xfId="0">
      <alignment horizontal="right"/>
    </xf>
    <xf numFmtId="165" fontId="10" fillId="0" borderId="80" applyAlignment="1" pivotButton="0" quotePrefix="0" xfId="0">
      <alignment horizontal="right"/>
    </xf>
    <xf numFmtId="174" fontId="21" fillId="0" borderId="81" applyAlignment="1" pivotButton="0" quotePrefix="0" xfId="0">
      <alignment horizontal="right"/>
    </xf>
    <xf numFmtId="0" fontId="10" fillId="0" borderId="0" applyAlignment="1" pivotButton="0" quotePrefix="1" xfId="0">
      <alignment horizontal="left"/>
    </xf>
    <xf numFmtId="0" fontId="21" fillId="16" borderId="1" applyAlignment="1" pivotButton="0" quotePrefix="0" xfId="0">
      <alignment horizontal="left"/>
    </xf>
    <xf numFmtId="0" fontId="58" fillId="16" borderId="1" pivotButton="0" quotePrefix="0" xfId="0"/>
    <xf numFmtId="173" fontId="41" fillId="0" borderId="73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left" indent="2"/>
    </xf>
    <xf numFmtId="174" fontId="10" fillId="0" borderId="73" applyAlignment="1" pivotButton="0" quotePrefix="0" xfId="0">
      <alignment horizontal="right"/>
    </xf>
    <xf numFmtId="165" fontId="21" fillId="16" borderId="74" applyAlignment="1" pivotButton="0" quotePrefix="0" xfId="0">
      <alignment horizontal="right"/>
    </xf>
    <xf numFmtId="0" fontId="59" fillId="0" borderId="0" pivotButton="0" quotePrefix="0" xfId="0"/>
    <xf numFmtId="169" fontId="24" fillId="0" borderId="80" applyAlignment="1" pivotButton="0" quotePrefix="0" xfId="0">
      <alignment horizontal="right"/>
    </xf>
    <xf numFmtId="174" fontId="21" fillId="19" borderId="4" applyAlignment="1" pivotButton="0" quotePrefix="0" xfId="0">
      <alignment horizontal="right"/>
    </xf>
    <xf numFmtId="0" fontId="21" fillId="18" borderId="0" pivotButton="0" quotePrefix="0" xfId="0"/>
    <xf numFmtId="174" fontId="21" fillId="18" borderId="0" applyAlignment="1" pivotButton="0" quotePrefix="0" xfId="0">
      <alignment horizontal="right"/>
    </xf>
    <xf numFmtId="174" fontId="21" fillId="18" borderId="80" applyAlignment="1" pivotButton="0" quotePrefix="0" xfId="0">
      <alignment horizontal="right"/>
    </xf>
    <xf numFmtId="165" fontId="14" fillId="0" borderId="80" applyAlignment="1" pivotButton="0" quotePrefix="0" xfId="0">
      <alignment horizontal="right"/>
    </xf>
    <xf numFmtId="0" fontId="10" fillId="0" borderId="36" applyAlignment="1" pivotButton="0" quotePrefix="0" xfId="0">
      <alignment horizontal="right"/>
    </xf>
    <xf numFmtId="0" fontId="21" fillId="18" borderId="36" applyAlignment="1" pivotButton="0" quotePrefix="0" xfId="0">
      <alignment horizontal="right"/>
    </xf>
    <xf numFmtId="0" fontId="14" fillId="0" borderId="36" applyAlignment="1" pivotButton="0" quotePrefix="0" xfId="0">
      <alignment horizontal="right"/>
    </xf>
    <xf numFmtId="0" fontId="23" fillId="0" borderId="71" applyAlignment="1" pivotButton="0" quotePrefix="0" xfId="0">
      <alignment horizontal="centerContinuous" vertical="center"/>
    </xf>
    <xf numFmtId="0" fontId="28" fillId="0" borderId="8" applyAlignment="1" pivotButton="0" quotePrefix="0" xfId="0">
      <alignment horizontal="center"/>
    </xf>
    <xf numFmtId="0" fontId="9" fillId="0" borderId="27" pivotButton="0" quotePrefix="0" xfId="0"/>
    <xf numFmtId="174" fontId="23" fillId="17" borderId="0" applyAlignment="1" pivotButton="0" quotePrefix="0" xfId="0">
      <alignment horizontal="right"/>
    </xf>
    <xf numFmtId="174" fontId="23" fillId="17" borderId="73" applyAlignment="1" pivotButton="0" quotePrefix="0" xfId="0">
      <alignment horizontal="right"/>
    </xf>
    <xf numFmtId="174" fontId="19" fillId="0" borderId="73" applyAlignment="1" pivotButton="0" quotePrefix="0" xfId="0">
      <alignment horizontal="right"/>
    </xf>
    <xf numFmtId="0" fontId="23" fillId="2" borderId="1" pivotButton="0" quotePrefix="0" xfId="0"/>
    <xf numFmtId="174" fontId="23" fillId="2" borderId="1" applyAlignment="1" pivotButton="0" quotePrefix="0" xfId="0">
      <alignment horizontal="right"/>
    </xf>
    <xf numFmtId="174" fontId="23" fillId="2" borderId="81" applyAlignment="1" pivotButton="0" quotePrefix="0" xfId="0">
      <alignment horizontal="right"/>
    </xf>
    <xf numFmtId="174" fontId="23" fillId="16" borderId="1" applyAlignment="1" pivotButton="0" quotePrefix="0" xfId="0">
      <alignment horizontal="right"/>
    </xf>
    <xf numFmtId="174" fontId="23" fillId="16" borderId="81" applyAlignment="1" pivotButton="0" quotePrefix="0" xfId="0">
      <alignment horizontal="right"/>
    </xf>
    <xf numFmtId="0" fontId="23" fillId="16" borderId="1" pivotButton="0" quotePrefix="0" xfId="0"/>
    <xf numFmtId="169" fontId="21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177" fontId="9" fillId="0" borderId="10" applyAlignment="1" pivotButton="0" quotePrefix="0" xfId="0">
      <alignment horizontal="right"/>
    </xf>
    <xf numFmtId="177" fontId="9" fillId="0" borderId="5" applyAlignment="1" pivotButton="0" quotePrefix="0" xfId="0">
      <alignment horizontal="right"/>
    </xf>
    <xf numFmtId="168" fontId="9" fillId="0" borderId="5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  <xf numFmtId="165" fontId="9" fillId="0" borderId="5" pivotButton="0" quotePrefix="0" xfId="0"/>
    <xf numFmtId="174" fontId="23" fillId="19" borderId="1" applyAlignment="1" pivotButton="0" quotePrefix="0" xfId="0">
      <alignment horizontal="right"/>
    </xf>
    <xf numFmtId="173" fontId="42" fillId="0" borderId="0" applyAlignment="1" pivotButton="0" quotePrefix="0" xfId="0">
      <alignment horizontal="right"/>
    </xf>
    <xf numFmtId="165" fontId="60" fillId="0" borderId="0" pivotButton="0" quotePrefix="0" xfId="0"/>
    <xf numFmtId="169" fontId="60" fillId="0" borderId="0" pivotButton="0" quotePrefix="0" xfId="0"/>
    <xf numFmtId="169" fontId="42" fillId="0" borderId="0" applyAlignment="1" pivotButton="0" quotePrefix="0" xfId="0">
      <alignment horizontal="right"/>
    </xf>
    <xf numFmtId="165" fontId="9" fillId="0" borderId="5" applyAlignment="1" pivotButton="0" quotePrefix="0" xfId="0">
      <alignment vertical="center"/>
    </xf>
    <xf numFmtId="0" fontId="0" fillId="0" borderId="54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4" fillId="6" borderId="0" applyAlignment="1" pivotButton="0" quotePrefix="0" xfId="0">
      <alignment horizontal="center" wrapText="1"/>
    </xf>
    <xf numFmtId="0" fontId="44" fillId="6" borderId="0" applyAlignment="1" pivotButton="0" quotePrefix="0" xfId="0">
      <alignment horizontal="center"/>
    </xf>
    <xf numFmtId="0" fontId="22" fillId="0" borderId="0" applyAlignment="1" pivotButton="0" quotePrefix="0" xfId="0">
      <alignment horizontal="right" vertical="center" textRotation="90"/>
    </xf>
    <xf numFmtId="0" fontId="57" fillId="0" borderId="0" applyAlignment="1" pivotButton="0" quotePrefix="0" xfId="0">
      <alignment horizontal="right" vertical="center" textRotation="90"/>
    </xf>
    <xf numFmtId="164" fontId="3" fillId="0" borderId="0" pivotButton="0" quotePrefix="0" xfId="1"/>
    <xf numFmtId="173" fontId="9" fillId="9" borderId="29" applyAlignment="1" pivotButton="0" quotePrefix="0" xfId="0">
      <alignment horizontal="right" vertical="center"/>
    </xf>
    <xf numFmtId="0" fontId="0" fillId="0" borderId="0" applyAlignment="1" pivotButton="0" quotePrefix="0" xfId="0">
      <alignment vertical="top" wrapText="1"/>
    </xf>
    <xf numFmtId="0" fontId="0" fillId="0" borderId="54" applyAlignment="1" pivotButton="0" quotePrefix="0" xfId="0">
      <alignment vertical="top" wrapText="1"/>
    </xf>
    <xf numFmtId="164" fontId="20" fillId="6" borderId="59" applyAlignment="1" pivotButton="0" quotePrefix="0" xfId="0">
      <alignment horizontal="center" vertical="center"/>
    </xf>
    <xf numFmtId="174" fontId="45" fillId="0" borderId="0" pivotButton="0" quotePrefix="0" xfId="0"/>
    <xf numFmtId="174" fontId="45" fillId="0" borderId="36" pivotButton="0" quotePrefix="0" xfId="0"/>
    <xf numFmtId="174" fontId="41" fillId="0" borderId="0" pivotButton="0" quotePrefix="0" xfId="0"/>
    <xf numFmtId="174" fontId="41" fillId="0" borderId="36" pivotButton="0" quotePrefix="0" xfId="0"/>
    <xf numFmtId="174" fontId="45" fillId="2" borderId="0" pivotButton="0" quotePrefix="0" xfId="0"/>
    <xf numFmtId="174" fontId="45" fillId="2" borderId="36" pivotButton="0" quotePrefix="0" xfId="0"/>
    <xf numFmtId="173" fontId="10" fillId="0" borderId="0" applyAlignment="1" pivotButton="0" quotePrefix="0" xfId="0">
      <alignment horizontal="right"/>
    </xf>
    <xf numFmtId="173" fontId="10" fillId="0" borderId="36" applyAlignment="1" pivotButton="0" quotePrefix="0" xfId="0">
      <alignment horizontal="right"/>
    </xf>
    <xf numFmtId="166" fontId="21" fillId="10" borderId="1" applyAlignment="1" pivotButton="0" quotePrefix="0" xfId="0">
      <alignment horizontal="right"/>
    </xf>
    <xf numFmtId="166" fontId="21" fillId="10" borderId="37" applyAlignment="1" pivotButton="0" quotePrefix="0" xfId="0">
      <alignment horizontal="right"/>
    </xf>
    <xf numFmtId="173" fontId="15" fillId="0" borderId="0" applyAlignment="1" pivotButton="0" quotePrefix="0" xfId="0">
      <alignment horizontal="right"/>
    </xf>
    <xf numFmtId="173" fontId="15" fillId="0" borderId="14" applyAlignment="1" pivotButton="0" quotePrefix="0" xfId="0">
      <alignment horizontal="right"/>
    </xf>
    <xf numFmtId="169" fontId="15" fillId="0" borderId="0" applyAlignment="1" pivotButton="0" quotePrefix="0" xfId="0">
      <alignment horizontal="right"/>
    </xf>
    <xf numFmtId="169" fontId="15" fillId="0" borderId="14" applyAlignment="1" pivotButton="0" quotePrefix="0" xfId="0">
      <alignment horizontal="right"/>
    </xf>
    <xf numFmtId="169" fontId="15" fillId="0" borderId="8" applyAlignment="1" pivotButton="0" quotePrefix="0" xfId="0">
      <alignment horizontal="right"/>
    </xf>
    <xf numFmtId="169" fontId="15" fillId="0" borderId="16" applyAlignment="1" pivotButton="0" quotePrefix="0" xfId="0">
      <alignment horizontal="right"/>
    </xf>
    <xf numFmtId="164" fontId="20" fillId="7" borderId="2" applyAlignment="1" pivotButton="0" quotePrefix="0" xfId="0">
      <alignment horizontal="center" vertical="center"/>
    </xf>
    <xf numFmtId="169" fontId="8" fillId="0" borderId="0" applyAlignment="1" pivotButton="0" quotePrefix="0" xfId="0">
      <alignment horizontal="right"/>
    </xf>
    <xf numFmtId="169" fontId="8" fillId="0" borderId="36" applyAlignment="1" pivotButton="0" quotePrefix="0" xfId="0">
      <alignment horizontal="right"/>
    </xf>
    <xf numFmtId="169" fontId="8" fillId="0" borderId="6" applyAlignment="1" pivotButton="0" quotePrefix="0" xfId="0">
      <alignment horizontal="right"/>
    </xf>
    <xf numFmtId="169" fontId="8" fillId="0" borderId="38" applyAlignment="1" pivotButton="0" quotePrefix="0" xfId="0">
      <alignment horizontal="right"/>
    </xf>
    <xf numFmtId="166" fontId="8" fillId="0" borderId="6" applyAlignment="1" pivotButton="0" quotePrefix="0" xfId="0">
      <alignment horizontal="right"/>
    </xf>
    <xf numFmtId="166" fontId="8" fillId="0" borderId="38" applyAlignment="1" pivotButton="0" quotePrefix="0" xfId="0">
      <alignment horizontal="right"/>
    </xf>
    <xf numFmtId="171" fontId="26" fillId="0" borderId="0" applyAlignment="1" pivotButton="0" quotePrefix="0" xfId="0">
      <alignment horizontal="center"/>
    </xf>
    <xf numFmtId="164" fontId="20" fillId="7" borderId="59" applyAlignment="1" pivotButton="0" quotePrefix="0" xfId="0">
      <alignment horizontal="center" vertical="center"/>
    </xf>
    <xf numFmtId="166" fontId="9" fillId="11" borderId="5" applyAlignment="1" pivotButton="0" quotePrefix="0" xfId="0">
      <alignment horizontal="right"/>
    </xf>
    <xf numFmtId="168" fontId="9" fillId="11" borderId="5" applyAlignment="1" pivotButton="0" quotePrefix="0" xfId="0">
      <alignment horizontal="right"/>
    </xf>
    <xf numFmtId="166" fontId="23" fillId="0" borderId="1" applyAlignment="1" pivotButton="0" quotePrefix="0" xfId="0">
      <alignment horizontal="right"/>
    </xf>
    <xf numFmtId="166" fontId="23" fillId="0" borderId="0" applyAlignment="1" pivotButton="0" quotePrefix="0" xfId="0">
      <alignment horizontal="right"/>
    </xf>
    <xf numFmtId="166" fontId="22" fillId="0" borderId="1" applyAlignment="1" pivotButton="0" quotePrefix="0" xfId="0">
      <alignment horizontal="right"/>
    </xf>
    <xf numFmtId="166" fontId="22" fillId="0" borderId="0" applyAlignment="1" pivotButton="0" quotePrefix="0" xfId="0">
      <alignment horizontal="right"/>
    </xf>
    <xf numFmtId="166" fontId="21" fillId="0" borderId="1" applyAlignment="1" pivotButton="0" quotePrefix="0" xfId="0">
      <alignment horizontal="right"/>
    </xf>
    <xf numFmtId="166" fontId="17" fillId="0" borderId="1" applyAlignment="1" pivotButton="0" quotePrefix="0" xfId="0">
      <alignment horizontal="right"/>
    </xf>
    <xf numFmtId="166" fontId="17" fillId="0" borderId="0" pivotButton="0" quotePrefix="0" xfId="0"/>
    <xf numFmtId="166" fontId="10" fillId="0" borderId="0" applyAlignment="1" pivotButton="0" quotePrefix="0" xfId="0">
      <alignment horizontal="right"/>
    </xf>
    <xf numFmtId="166" fontId="26" fillId="0" borderId="0" applyAlignment="1" pivotButton="0" quotePrefix="0" xfId="0">
      <alignment horizontal="right"/>
    </xf>
    <xf numFmtId="166" fontId="12" fillId="4" borderId="49" applyAlignment="1" pivotButton="0" quotePrefix="0" xfId="0">
      <alignment horizontal="right"/>
    </xf>
    <xf numFmtId="166" fontId="12" fillId="4" borderId="50" applyAlignment="1" pivotButton="0" quotePrefix="0" xfId="0">
      <alignment horizontal="right"/>
    </xf>
    <xf numFmtId="172" fontId="14" fillId="4" borderId="52" applyAlignment="1" pivotButton="0" quotePrefix="0" xfId="0">
      <alignment horizontal="right"/>
    </xf>
    <xf numFmtId="172" fontId="14" fillId="4" borderId="53" applyAlignment="1" pivotButton="0" quotePrefix="0" xfId="0">
      <alignment horizontal="right"/>
    </xf>
    <xf numFmtId="171" fontId="10" fillId="0" borderId="0" applyAlignment="1" pivotButton="0" quotePrefix="0" xfId="0">
      <alignment horizontal="center"/>
    </xf>
    <xf numFmtId="166" fontId="21" fillId="0" borderId="0" applyAlignment="1" pivotButton="0" quotePrefix="0" xfId="0">
      <alignment horizontal="right"/>
    </xf>
    <xf numFmtId="166" fontId="21" fillId="0" borderId="1" pivotButton="0" quotePrefix="0" xfId="0"/>
    <xf numFmtId="166" fontId="21" fillId="0" borderId="0" pivotButton="0" quotePrefix="0" xfId="0"/>
    <xf numFmtId="168" fontId="21" fillId="0" borderId="0" pivotButton="0" quotePrefix="0" xfId="0"/>
    <xf numFmtId="166" fontId="21" fillId="0" borderId="4" applyAlignment="1" pivotButton="0" quotePrefix="0" xfId="0">
      <alignment horizontal="right"/>
    </xf>
    <xf numFmtId="168" fontId="10" fillId="0" borderId="0" applyAlignment="1" pivotButton="0" quotePrefix="0" xfId="0">
      <alignment horizontal="right"/>
    </xf>
    <xf numFmtId="166" fontId="9" fillId="0" borderId="0" pivotButton="0" quotePrefix="0" xfId="0"/>
    <xf numFmtId="168" fontId="9" fillId="0" borderId="0" applyAlignment="1" pivotButton="0" quotePrefix="0" xfId="0">
      <alignment horizontal="right"/>
    </xf>
    <xf numFmtId="172" fontId="14" fillId="4" borderId="46" applyAlignment="1" pivotButton="0" quotePrefix="0" xfId="0">
      <alignment horizontal="right"/>
    </xf>
    <xf numFmtId="172" fontId="14" fillId="4" borderId="47" applyAlignment="1" pivotButton="0" quotePrefix="0" xfId="0">
      <alignment horizontal="right"/>
    </xf>
    <xf numFmtId="174" fontId="10" fillId="0" borderId="0" pivotButton="0" quotePrefix="0" xfId="0"/>
    <xf numFmtId="164" fontId="20" fillId="7" borderId="58" applyAlignment="1" pivotButton="0" quotePrefix="0" xfId="0">
      <alignment horizontal="center" vertical="center"/>
    </xf>
    <xf numFmtId="174" fontId="41" fillId="0" borderId="0" applyAlignment="1" pivotButton="0" quotePrefix="0" xfId="0">
      <alignment horizontal="right"/>
    </xf>
    <xf numFmtId="173" fontId="41" fillId="0" borderId="8" applyAlignment="1" pivotButton="0" quotePrefix="0" xfId="0">
      <alignment horizontal="right"/>
    </xf>
    <xf numFmtId="173" fontId="41" fillId="0" borderId="69" applyAlignment="1" pivotButton="0" quotePrefix="0" xfId="0">
      <alignment horizontal="right"/>
    </xf>
    <xf numFmtId="174" fontId="22" fillId="0" borderId="0" applyAlignment="1" pivotButton="0" quotePrefix="0" xfId="0">
      <alignment horizontal="right"/>
    </xf>
    <xf numFmtId="174" fontId="22" fillId="0" borderId="36" applyAlignment="1" pivotButton="0" quotePrefix="0" xfId="0">
      <alignment horizontal="right"/>
    </xf>
    <xf numFmtId="174" fontId="17" fillId="0" borderId="0" applyAlignment="1" pivotButton="0" quotePrefix="0" xfId="0">
      <alignment horizontal="right"/>
    </xf>
    <xf numFmtId="174" fontId="17" fillId="0" borderId="36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73" fontId="10" fillId="0" borderId="8" applyAlignment="1" pivotButton="0" quotePrefix="0" xfId="0">
      <alignment horizontal="right"/>
    </xf>
    <xf numFmtId="173" fontId="10" fillId="0" borderId="69" applyAlignment="1" pivotButton="0" quotePrefix="0" xfId="0">
      <alignment horizontal="right"/>
    </xf>
    <xf numFmtId="174" fontId="23" fillId="0" borderId="0" applyAlignment="1" pivotButton="0" quotePrefix="0" xfId="0">
      <alignment horizontal="right"/>
    </xf>
    <xf numFmtId="173" fontId="41" fillId="0" borderId="0" applyAlignment="1" pivotButton="0" quotePrefix="0" xfId="0">
      <alignment horizontal="right"/>
    </xf>
    <xf numFmtId="174" fontId="23" fillId="2" borderId="0" applyAlignment="1" pivotButton="0" quotePrefix="0" xfId="0">
      <alignment horizontal="right"/>
    </xf>
    <xf numFmtId="174" fontId="22" fillId="2" borderId="0" applyAlignment="1" pivotButton="0" quotePrefix="0" xfId="0">
      <alignment horizontal="right"/>
    </xf>
    <xf numFmtId="174" fontId="22" fillId="2" borderId="36" applyAlignment="1" pivotButton="0" quotePrefix="0" xfId="0">
      <alignment horizontal="right"/>
    </xf>
    <xf numFmtId="174" fontId="41" fillId="0" borderId="36" applyAlignment="1" pivotButton="0" quotePrefix="0" xfId="0">
      <alignment horizontal="right"/>
    </xf>
    <xf numFmtId="173" fontId="41" fillId="0" borderId="36" applyAlignment="1" pivotButton="0" quotePrefix="0" xfId="0">
      <alignment horizontal="right"/>
    </xf>
    <xf numFmtId="174" fontId="23" fillId="0" borderId="1" applyAlignment="1" pivotButton="0" quotePrefix="0" xfId="0">
      <alignment horizontal="right"/>
    </xf>
    <xf numFmtId="174" fontId="22" fillId="0" borderId="1" applyAlignment="1" pivotButton="0" quotePrefix="0" xfId="0">
      <alignment horizontal="right"/>
    </xf>
    <xf numFmtId="174" fontId="22" fillId="0" borderId="37" applyAlignment="1" pivotButton="0" quotePrefix="0" xfId="0">
      <alignment horizontal="right"/>
    </xf>
    <xf numFmtId="174" fontId="13" fillId="0" borderId="0" applyAlignment="1" pivotButton="0" quotePrefix="0" xfId="0">
      <alignment horizontal="right"/>
    </xf>
    <xf numFmtId="174" fontId="13" fillId="0" borderId="36" applyAlignment="1" pivotButton="0" quotePrefix="0" xfId="0">
      <alignment horizontal="right"/>
    </xf>
    <xf numFmtId="174" fontId="23" fillId="10" borderId="1" applyAlignment="1" pivotButton="0" quotePrefix="0" xfId="0">
      <alignment horizontal="right"/>
    </xf>
    <xf numFmtId="174" fontId="22" fillId="10" borderId="1" applyAlignment="1" pivotButton="0" quotePrefix="0" xfId="0">
      <alignment horizontal="right"/>
    </xf>
    <xf numFmtId="174" fontId="22" fillId="10" borderId="37" applyAlignment="1" pivotButton="0" quotePrefix="0" xfId="0">
      <alignment horizontal="right"/>
    </xf>
    <xf numFmtId="174" fontId="24" fillId="0" borderId="0" applyAlignment="1" pivotButton="0" quotePrefix="0" xfId="0">
      <alignment horizontal="right"/>
    </xf>
    <xf numFmtId="174" fontId="22" fillId="2" borderId="1" applyAlignment="1" pivotButton="0" quotePrefix="0" xfId="0">
      <alignment horizontal="right"/>
    </xf>
    <xf numFmtId="174" fontId="22" fillId="2" borderId="37" applyAlignment="1" pivotButton="0" quotePrefix="0" xfId="0">
      <alignment horizontal="right"/>
    </xf>
    <xf numFmtId="173" fontId="17" fillId="0" borderId="0" applyAlignment="1" pivotButton="0" quotePrefix="0" xfId="0">
      <alignment horizontal="right"/>
    </xf>
    <xf numFmtId="173" fontId="17" fillId="0" borderId="36" applyAlignment="1" pivotButton="0" quotePrefix="0" xfId="0">
      <alignment horizontal="right"/>
    </xf>
    <xf numFmtId="173" fontId="22" fillId="0" borderId="0" applyAlignment="1" pivotButton="0" quotePrefix="0" xfId="0">
      <alignment horizontal="right"/>
    </xf>
    <xf numFmtId="173" fontId="22" fillId="0" borderId="36" applyAlignment="1" pivotButton="0" quotePrefix="0" xfId="0">
      <alignment horizontal="right"/>
    </xf>
    <xf numFmtId="174" fontId="24" fillId="0" borderId="36" applyAlignment="1" pivotButton="0" quotePrefix="0" xfId="0">
      <alignment horizontal="right"/>
    </xf>
    <xf numFmtId="173" fontId="24" fillId="0" borderId="0" applyAlignment="1" pivotButton="0" quotePrefix="0" xfId="0">
      <alignment horizontal="right"/>
    </xf>
    <xf numFmtId="173" fontId="9" fillId="0" borderId="0" applyAlignment="1" pivotButton="0" quotePrefix="0" xfId="0">
      <alignment horizontal="right"/>
    </xf>
    <xf numFmtId="174" fontId="9" fillId="0" borderId="0" applyAlignment="1" pivotButton="0" quotePrefix="0" xfId="0">
      <alignment horizontal="right"/>
    </xf>
    <xf numFmtId="174" fontId="21" fillId="0" borderId="1" applyAlignment="1" pivotButton="0" quotePrefix="0" xfId="0">
      <alignment horizontal="right"/>
    </xf>
    <xf numFmtId="174" fontId="21" fillId="0" borderId="37" applyAlignment="1" pivotButton="0" quotePrefix="0" xfId="0">
      <alignment horizontal="right"/>
    </xf>
    <xf numFmtId="173" fontId="24" fillId="0" borderId="36" applyAlignment="1" pivotButton="0" quotePrefix="0" xfId="0">
      <alignment horizontal="right"/>
    </xf>
    <xf numFmtId="173" fontId="9" fillId="8" borderId="26" applyAlignment="1" pivotButton="0" quotePrefix="0" xfId="0">
      <alignment horizontal="right"/>
    </xf>
    <xf numFmtId="173" fontId="10" fillId="8" borderId="26" applyAlignment="1" pivotButton="0" quotePrefix="0" xfId="0">
      <alignment horizontal="right"/>
    </xf>
    <xf numFmtId="173" fontId="10" fillId="8" borderId="40" applyAlignment="1" pivotButton="0" quotePrefix="0" xfId="0">
      <alignment horizontal="right"/>
    </xf>
    <xf numFmtId="166" fontId="10" fillId="0" borderId="0" pivotButton="0" quotePrefix="0" xfId="0"/>
    <xf numFmtId="173" fontId="24" fillId="0" borderId="27" applyAlignment="1" pivotButton="0" quotePrefix="0" xfId="0">
      <alignment horizontal="right"/>
    </xf>
    <xf numFmtId="173" fontId="24" fillId="0" borderId="41" applyAlignment="1" pivotButton="0" quotePrefix="0" xfId="0">
      <alignment horizontal="right"/>
    </xf>
    <xf numFmtId="166" fontId="21" fillId="11" borderId="4" pivotButton="0" quotePrefix="0" xfId="0"/>
    <xf numFmtId="174" fontId="21" fillId="11" borderId="4" applyAlignment="1" pivotButton="0" quotePrefix="0" xfId="0">
      <alignment horizontal="right"/>
    </xf>
    <xf numFmtId="174" fontId="21" fillId="11" borderId="28" applyAlignment="1" pivotButton="0" quotePrefix="0" xfId="0">
      <alignment horizontal="right"/>
    </xf>
    <xf numFmtId="174" fontId="21" fillId="11" borderId="39" applyAlignment="1" pivotButton="0" quotePrefix="0" xfId="0">
      <alignment horizontal="right"/>
    </xf>
    <xf numFmtId="171" fontId="10" fillId="0" borderId="0" pivotButton="0" quotePrefix="0" xfId="0"/>
    <xf numFmtId="174" fontId="45" fillId="0" borderId="0" applyAlignment="1" pivotButton="0" quotePrefix="0" xfId="0">
      <alignment horizontal="right"/>
    </xf>
    <xf numFmtId="174" fontId="9" fillId="11" borderId="5" applyAlignment="1" pivotButton="0" quotePrefix="0" xfId="0">
      <alignment horizontal="right"/>
    </xf>
    <xf numFmtId="172" fontId="61" fillId="11" borderId="5" applyAlignment="1" pivotButton="0" quotePrefix="0" xfId="0">
      <alignment horizontal="right"/>
    </xf>
    <xf numFmtId="4" fontId="61" fillId="11" borderId="5" applyAlignment="1" pivotButton="0" quotePrefix="0" xfId="0">
      <alignment horizontal="right"/>
    </xf>
    <xf numFmtId="174" fontId="61" fillId="11" borderId="5" applyAlignment="1" pivotButton="0" quotePrefix="0" xfId="0">
      <alignment horizontal="right"/>
    </xf>
    <xf numFmtId="178" fontId="61" fillId="11" borderId="5" applyAlignment="1" pivotButton="0" quotePrefix="0" xfId="0">
      <alignment horizontal="right"/>
    </xf>
    <xf numFmtId="165" fontId="61" fillId="11" borderId="5" applyAlignment="1" pivotButton="0" quotePrefix="0" xfId="0">
      <alignment horizontal="right"/>
    </xf>
    <xf numFmtId="174" fontId="21" fillId="2" borderId="0" applyAlignment="1" pivotButton="0" quotePrefix="0" xfId="0">
      <alignment horizontal="right"/>
    </xf>
    <xf numFmtId="174" fontId="21" fillId="0" borderId="0" applyAlignment="1" pivotButton="0" quotePrefix="0" xfId="0">
      <alignment horizontal="right"/>
    </xf>
    <xf numFmtId="173" fontId="9" fillId="11" borderId="5" applyAlignment="1" pivotButton="0" quotePrefix="0" xfId="0">
      <alignment horizontal="right"/>
    </xf>
    <xf numFmtId="174" fontId="24" fillId="0" borderId="27" applyAlignment="1" pivotButton="0" quotePrefix="0" xfId="0">
      <alignment horizontal="right"/>
    </xf>
    <xf numFmtId="173" fontId="9" fillId="11" borderId="30" applyAlignment="1" pivotButton="0" quotePrefix="0" xfId="0">
      <alignment horizontal="right"/>
    </xf>
    <xf numFmtId="174" fontId="62" fillId="11" borderId="5" applyAlignment="1" pivotButton="0" quotePrefix="0" xfId="0">
      <alignment horizontal="right"/>
    </xf>
    <xf numFmtId="0" fontId="63" fillId="20" borderId="0" pivotButton="0" quotePrefix="0" xfId="0"/>
    <xf numFmtId="0" fontId="0" fillId="20" borderId="0" pivotButton="0" quotePrefix="0" xfId="0"/>
    <xf numFmtId="0" fontId="63" fillId="20" borderId="0" applyAlignment="1" pivotButton="0" quotePrefix="0" xfId="0">
      <alignment horizontal="right"/>
    </xf>
    <xf numFmtId="0" fontId="64" fillId="0" borderId="0" pivotButton="0" quotePrefix="0" xfId="0"/>
    <xf numFmtId="165" fontId="65" fillId="0" borderId="0" pivotButton="0" quotePrefix="0" xfId="0"/>
    <xf numFmtId="165" fontId="66" fillId="0" borderId="0" pivotButton="0" quotePrefix="0" xfId="0"/>
    <xf numFmtId="165" fontId="64" fillId="0" borderId="0" pivotButton="0" quotePrefix="0" xfId="0"/>
    <xf numFmtId="172" fontId="64" fillId="0" borderId="0" pivotButton="0" quotePrefix="0" xfId="0"/>
    <xf numFmtId="173" fontId="65" fillId="0" borderId="0" pivotButton="0" quotePrefix="0" xfId="0"/>
    <xf numFmtId="173" fontId="66" fillId="0" borderId="0" pivotButton="0" quotePrefix="0" xfId="0"/>
    <xf numFmtId="173" fontId="64" fillId="0" borderId="0" pivotButton="0" quotePrefix="0" xfId="0"/>
    <xf numFmtId="10" fontId="64" fillId="0" borderId="0" pivotButton="0" quotePrefix="0" xfId="0"/>
    <xf numFmtId="179" fontId="66" fillId="0" borderId="0" pivotButton="0" quotePrefix="0" xfId="0"/>
    <xf numFmtId="179" fontId="64" fillId="0" borderId="0" pivotButton="0" quotePrefix="0" xfId="0"/>
    <xf numFmtId="172" fontId="65" fillId="0" borderId="0" pivotButton="0" quotePrefix="0" xfId="0"/>
    <xf numFmtId="172" fontId="66" fillId="0" borderId="0" pivotButton="0" quotePrefix="0" xfId="0"/>
    <xf numFmtId="174" fontId="21" fillId="2" borderId="36" applyAlignment="1" pivotButton="0" quotePrefix="0" xfId="0">
      <alignment horizontal="right"/>
    </xf>
    <xf numFmtId="169" fontId="10" fillId="0" borderId="0" applyAlignment="1" pivotButton="0" quotePrefix="0" xfId="0">
      <alignment horizontal="right"/>
    </xf>
    <xf numFmtId="169" fontId="10" fillId="0" borderId="36" applyAlignment="1" pivotButton="0" quotePrefix="0" xfId="0">
      <alignment horizontal="right"/>
    </xf>
    <xf numFmtId="165" fontId="67" fillId="0" borderId="0" applyAlignment="1" pivotButton="0" quotePrefix="0" xfId="0">
      <alignment horizontal="right"/>
    </xf>
    <xf numFmtId="165" fontId="62" fillId="0" borderId="0" applyAlignment="1" pivotButton="0" quotePrefix="0" xfId="0">
      <alignment horizontal="right"/>
    </xf>
    <xf numFmtId="165" fontId="62" fillId="0" borderId="36" applyAlignment="1" pivotButton="0" quotePrefix="0" xfId="0">
      <alignment horizontal="right"/>
    </xf>
    <xf numFmtId="165" fontId="67" fillId="0" borderId="36" applyAlignment="1" pivotButton="0" quotePrefix="0" xfId="0">
      <alignment horizontal="right"/>
    </xf>
    <xf numFmtId="175" fontId="61" fillId="0" borderId="0" applyAlignment="1" pivotButton="0" quotePrefix="0" xfId="0">
      <alignment horizontal="right"/>
    </xf>
    <xf numFmtId="175" fontId="61" fillId="0" borderId="36" applyAlignment="1" pivotButton="0" quotePrefix="0" xfId="0">
      <alignment horizontal="right"/>
    </xf>
    <xf numFmtId="168" fontId="10" fillId="0" borderId="36" applyAlignment="1" pivotButton="0" quotePrefix="0" xfId="0">
      <alignment horizontal="right"/>
    </xf>
    <xf numFmtId="174" fontId="21" fillId="2" borderId="7" applyAlignment="1" pivotButton="0" quotePrefix="0" xfId="0">
      <alignment horizontal="right"/>
    </xf>
    <xf numFmtId="174" fontId="21" fillId="2" borderId="10" applyAlignment="1" pivotButton="0" quotePrefix="0" xfId="0">
      <alignment horizontal="right"/>
    </xf>
    <xf numFmtId="174" fontId="62" fillId="0" borderId="0" applyAlignment="1" pivotButton="0" quotePrefix="0" xfId="0">
      <alignment horizontal="right"/>
    </xf>
    <xf numFmtId="173" fontId="62" fillId="0" borderId="0" applyAlignment="1" pivotButton="0" quotePrefix="0" xfId="0">
      <alignment horizontal="right"/>
    </xf>
    <xf numFmtId="174" fontId="41" fillId="0" borderId="0" applyAlignment="1" pivotButton="0" quotePrefix="0" xfId="2">
      <alignment horizontal="right"/>
    </xf>
    <xf numFmtId="174" fontId="41" fillId="0" borderId="6" applyAlignment="1" pivotButton="0" quotePrefix="0" xfId="2">
      <alignment horizontal="right"/>
    </xf>
    <xf numFmtId="173" fontId="41" fillId="0" borderId="6" applyAlignment="1" pivotButton="0" quotePrefix="0" xfId="2">
      <alignment horizontal="right"/>
    </xf>
    <xf numFmtId="173" fontId="17" fillId="0" borderId="0" applyAlignment="1" pivotButton="0" quotePrefix="0" xfId="2">
      <alignment horizontal="right"/>
    </xf>
    <xf numFmtId="174" fontId="22" fillId="0" borderId="1" applyAlignment="1" pivotButton="0" quotePrefix="0" xfId="2">
      <alignment horizontal="right"/>
    </xf>
    <xf numFmtId="166" fontId="22" fillId="4" borderId="7" applyAlignment="1" pivotButton="0" quotePrefix="0" xfId="2">
      <alignment vertical="center"/>
    </xf>
    <xf numFmtId="174" fontId="22" fillId="4" borderId="10" applyAlignment="1" pivotButton="0" quotePrefix="0" xfId="2">
      <alignment horizontal="right" vertical="center"/>
    </xf>
    <xf numFmtId="166" fontId="17" fillId="0" borderId="0" pivotButton="0" quotePrefix="0" xfId="2"/>
    <xf numFmtId="174" fontId="17" fillId="0" borderId="0" applyAlignment="1" pivotButton="0" quotePrefix="0" xfId="2">
      <alignment horizontal="right"/>
    </xf>
    <xf numFmtId="168" fontId="22" fillId="0" borderId="1" pivotButton="0" quotePrefix="0" xfId="2"/>
    <xf numFmtId="166" fontId="23" fillId="11" borderId="23" applyAlignment="1" pivotButton="0" quotePrefix="0" xfId="2">
      <alignment vertical="center"/>
    </xf>
    <xf numFmtId="174" fontId="23" fillId="11" borderId="24" applyAlignment="1" pivotButton="0" quotePrefix="0" xfId="2">
      <alignment horizontal="right" vertical="center"/>
    </xf>
    <xf numFmtId="164" fontId="20" fillId="7" borderId="64" applyAlignment="1" pivotButton="0" quotePrefix="0" xfId="0">
      <alignment horizontal="center" vertical="center"/>
    </xf>
    <xf numFmtId="165" fontId="67" fillId="10" borderId="5" applyAlignment="1" pivotButton="0" quotePrefix="0" xfId="0">
      <alignment horizontal="right"/>
    </xf>
    <xf numFmtId="170" fontId="9" fillId="0" borderId="0" pivotButton="0" quotePrefix="0" xfId="2"/>
    <xf numFmtId="170" fontId="9" fillId="10" borderId="5" applyAlignment="1" pivotButton="0" quotePrefix="0" xfId="0">
      <alignment horizontal="right"/>
    </xf>
    <xf numFmtId="168" fontId="17" fillId="0" borderId="0" pivotButton="0" quotePrefix="0" xfId="2"/>
    <xf numFmtId="167" fontId="68" fillId="0" borderId="1" applyAlignment="1" pivotButton="0" quotePrefix="0" xfId="2">
      <alignment horizontal="right"/>
    </xf>
    <xf numFmtId="165" fontId="67" fillId="0" borderId="8" applyAlignment="1" pivotButton="0" quotePrefix="0" xfId="0">
      <alignment horizontal="right"/>
    </xf>
    <xf numFmtId="171" fontId="10" fillId="0" borderId="0" applyAlignment="1" pivotButton="0" quotePrefix="0" xfId="0">
      <alignment horizontal="right"/>
    </xf>
    <xf numFmtId="0" fontId="67" fillId="0" borderId="0" pivotButton="0" quotePrefix="0" xfId="1"/>
    <xf numFmtId="0" fontId="65" fillId="0" borderId="0" pivotButton="0" quotePrefix="0" xfId="0"/>
    <xf numFmtId="166" fontId="17" fillId="0" borderId="0" applyAlignment="1" pivotButton="0" quotePrefix="0" xfId="1">
      <alignment horizontal="right"/>
    </xf>
    <xf numFmtId="169" fontId="17" fillId="0" borderId="0" applyAlignment="1" pivotButton="0" quotePrefix="0" xfId="1">
      <alignment horizontal="right"/>
    </xf>
    <xf numFmtId="180" fontId="65" fillId="0" borderId="0" pivotButton="0" quotePrefix="0" xfId="0"/>
    <xf numFmtId="0" fontId="67" fillId="0" borderId="6" pivotButton="0" quotePrefix="0" xfId="1"/>
    <xf numFmtId="168" fontId="17" fillId="0" borderId="6" pivotButton="0" quotePrefix="0" xfId="1"/>
    <xf numFmtId="168" fontId="17" fillId="0" borderId="6" applyAlignment="1" pivotButton="0" quotePrefix="0" xfId="1">
      <alignment horizontal="right"/>
    </xf>
    <xf numFmtId="169" fontId="17" fillId="0" borderId="6" applyAlignment="1" pivotButton="0" quotePrefix="0" xfId="1">
      <alignment horizontal="right"/>
    </xf>
    <xf numFmtId="0" fontId="61" fillId="0" borderId="6" pivotButton="0" quotePrefix="0" xfId="1"/>
    <xf numFmtId="168" fontId="62" fillId="0" borderId="6" pivotButton="0" quotePrefix="0" xfId="1"/>
    <xf numFmtId="0" fontId="62" fillId="0" borderId="6" pivotButton="0" quotePrefix="0" xfId="1"/>
    <xf numFmtId="180" fontId="66" fillId="0" borderId="0" pivotButton="0" quotePrefix="0" xfId="0"/>
    <xf numFmtId="166" fontId="22" fillId="4" borderId="1" applyAlignment="1" pivotButton="0" quotePrefix="0" xfId="1">
      <alignment horizontal="right"/>
    </xf>
    <xf numFmtId="169" fontId="22" fillId="4" borderId="1" pivotButton="0" quotePrefix="0" xfId="1"/>
    <xf numFmtId="169" fontId="22" fillId="4" borderId="11" pivotButton="0" quotePrefix="0" xfId="1"/>
    <xf numFmtId="168" fontId="22" fillId="4" borderId="0" pivotButton="0" quotePrefix="0" xfId="1"/>
    <xf numFmtId="169" fontId="22" fillId="4" borderId="0" pivotButton="0" quotePrefix="0" xfId="1"/>
    <xf numFmtId="169" fontId="22" fillId="4" borderId="14" pivotButton="0" quotePrefix="0" xfId="1"/>
    <xf numFmtId="180" fontId="64" fillId="0" borderId="0" pivotButton="0" quotePrefix="0" xfId="0"/>
    <xf numFmtId="168" fontId="22" fillId="4" borderId="8" pivotButton="0" quotePrefix="0" xfId="1"/>
    <xf numFmtId="169" fontId="22" fillId="4" borderId="8" pivotButton="0" quotePrefix="0" xfId="1"/>
    <xf numFmtId="169" fontId="22" fillId="4" borderId="16" pivotButton="0" quotePrefix="0" xfId="1"/>
    <xf numFmtId="166" fontId="67" fillId="0" borderId="0" applyAlignment="1" pivotButton="0" quotePrefix="0" xfId="1">
      <alignment horizontal="right"/>
    </xf>
    <xf numFmtId="168" fontId="67" fillId="0" borderId="6" applyAlignment="1" pivotButton="0" quotePrefix="0" xfId="1">
      <alignment horizontal="right"/>
    </xf>
    <xf numFmtId="166" fontId="22" fillId="4" borderId="11" applyAlignment="1" pivotButton="0" quotePrefix="0" xfId="1">
      <alignment horizontal="right"/>
    </xf>
    <xf numFmtId="168" fontId="22" fillId="4" borderId="0" applyAlignment="1" pivotButton="0" quotePrefix="0" xfId="1">
      <alignment horizontal="right"/>
    </xf>
    <xf numFmtId="168" fontId="22" fillId="4" borderId="14" applyAlignment="1" pivotButton="0" quotePrefix="0" xfId="1">
      <alignment horizontal="right"/>
    </xf>
    <xf numFmtId="168" fontId="22" fillId="4" borderId="8" applyAlignment="1" pivotButton="0" quotePrefix="0" xfId="1">
      <alignment horizontal="right"/>
    </xf>
    <xf numFmtId="168" fontId="22" fillId="4" borderId="16" applyAlignment="1" pivotButton="0" quotePrefix="0" xfId="1">
      <alignment horizontal="right"/>
    </xf>
    <xf numFmtId="169" fontId="61" fillId="0" borderId="5" applyAlignment="1" pivotButton="0" quotePrefix="0" xfId="0">
      <alignment horizontal="right"/>
    </xf>
    <xf numFmtId="174" fontId="9" fillId="0" borderId="5" applyAlignment="1" pivotButton="0" quotePrefix="0" xfId="0">
      <alignment horizontal="right"/>
    </xf>
    <xf numFmtId="177" fontId="9" fillId="0" borderId="10" applyAlignment="1" pivotButton="0" quotePrefix="0" xfId="0">
      <alignment horizontal="right"/>
    </xf>
    <xf numFmtId="177" fontId="9" fillId="0" borderId="5" applyAlignment="1" pivotButton="0" quotePrefix="0" xfId="0">
      <alignment horizontal="right"/>
    </xf>
    <xf numFmtId="168" fontId="9" fillId="0" borderId="5" applyAlignment="1" pivotButton="0" quotePrefix="0" xfId="0">
      <alignment horizontal="center"/>
    </xf>
    <xf numFmtId="173" fontId="19" fillId="0" borderId="0" applyAlignment="1" pivotButton="0" quotePrefix="0" xfId="0">
      <alignment horizontal="right"/>
    </xf>
    <xf numFmtId="169" fontId="24" fillId="0" borderId="0" applyAlignment="1" pivotButton="0" quotePrefix="0" xfId="0">
      <alignment horizontal="right"/>
    </xf>
    <xf numFmtId="173" fontId="42" fillId="0" borderId="0" applyAlignment="1" pivotButton="0" quotePrefix="0" xfId="0">
      <alignment horizontal="right"/>
    </xf>
    <xf numFmtId="176" fontId="21" fillId="0" borderId="1" pivotButton="0" quotePrefix="0" xfId="0"/>
    <xf numFmtId="169" fontId="9" fillId="0" borderId="5" applyAlignment="1" pivotButton="0" quotePrefix="0" xfId="0">
      <alignment horizontal="right"/>
    </xf>
    <xf numFmtId="174" fontId="23" fillId="19" borderId="1" applyAlignment="1" pivotButton="0" quotePrefix="0" xfId="0">
      <alignment horizontal="right"/>
    </xf>
    <xf numFmtId="177" fontId="23" fillId="19" borderId="1" applyAlignment="1" pivotButton="0" quotePrefix="0" xfId="0">
      <alignment horizontal="right"/>
    </xf>
    <xf numFmtId="169" fontId="42" fillId="0" borderId="0" applyAlignment="1" pivotButton="0" quotePrefix="0" xfId="0">
      <alignment horizontal="right"/>
    </xf>
    <xf numFmtId="174" fontId="62" fillId="0" borderId="5" applyAlignment="1" pivotButton="0" quotePrefix="0" xfId="0">
      <alignment horizontal="right"/>
    </xf>
    <xf numFmtId="172" fontId="62" fillId="0" borderId="5" applyAlignment="1" pivotButton="0" quotePrefix="0" xfId="0">
      <alignment horizontal="right"/>
    </xf>
    <xf numFmtId="168" fontId="9" fillId="0" borderId="5" applyAlignment="1" pivotButton="0" quotePrefix="0" xfId="0">
      <alignment horizontal="right"/>
    </xf>
    <xf numFmtId="174" fontId="23" fillId="19" borderId="11" applyAlignment="1" pivotButton="0" quotePrefix="0" xfId="0">
      <alignment horizontal="right" vertical="center"/>
    </xf>
    <xf numFmtId="174" fontId="23" fillId="19" borderId="76" applyAlignment="1" pivotButton="0" quotePrefix="0" xfId="0">
      <alignment horizontal="right" vertical="top"/>
    </xf>
    <xf numFmtId="169" fontId="23" fillId="19" borderId="75" applyAlignment="1" pivotButton="0" quotePrefix="0" xfId="0">
      <alignment horizontal="right" vertical="center"/>
    </xf>
    <xf numFmtId="174" fontId="21" fillId="19" borderId="1" applyAlignment="1" pivotButton="0" quotePrefix="0" xfId="0">
      <alignment horizontal="right"/>
    </xf>
    <xf numFmtId="174" fontId="21" fillId="19" borderId="4" applyAlignment="1" pivotButton="0" quotePrefix="0" xfId="0">
      <alignment horizontal="right"/>
    </xf>
    <xf numFmtId="174" fontId="41" fillId="0" borderId="80" applyAlignment="1" pivotButton="0" quotePrefix="0" xfId="0">
      <alignment horizontal="right"/>
    </xf>
    <xf numFmtId="173" fontId="41" fillId="0" borderId="82" applyAlignment="1" pivotButton="0" quotePrefix="0" xfId="0">
      <alignment horizontal="right"/>
    </xf>
    <xf numFmtId="174" fontId="45" fillId="0" borderId="36" applyAlignment="1" pivotButton="0" quotePrefix="0" xfId="0">
      <alignment horizontal="right"/>
    </xf>
    <xf numFmtId="174" fontId="45" fillId="0" borderId="80" applyAlignment="1" pivotButton="0" quotePrefix="0" xfId="0">
      <alignment horizontal="right"/>
    </xf>
    <xf numFmtId="173" fontId="41" fillId="0" borderId="80" applyAlignment="1" pivotButton="0" quotePrefix="0" xfId="0">
      <alignment horizontal="right"/>
    </xf>
    <xf numFmtId="174" fontId="45" fillId="2" borderId="0" applyAlignment="1" pivotButton="0" quotePrefix="0" xfId="0">
      <alignment horizontal="right"/>
    </xf>
    <xf numFmtId="174" fontId="45" fillId="2" borderId="36" applyAlignment="1" pivotButton="0" quotePrefix="0" xfId="0">
      <alignment horizontal="right"/>
    </xf>
    <xf numFmtId="174" fontId="45" fillId="2" borderId="80" applyAlignment="1" pivotButton="0" quotePrefix="0" xfId="0">
      <alignment horizontal="right"/>
    </xf>
    <xf numFmtId="174" fontId="45" fillId="0" borderId="1" applyAlignment="1" pivotButton="0" quotePrefix="0" xfId="0">
      <alignment horizontal="right"/>
    </xf>
    <xf numFmtId="174" fontId="45" fillId="0" borderId="37" applyAlignment="1" pivotButton="0" quotePrefix="0" xfId="0">
      <alignment horizontal="right"/>
    </xf>
    <xf numFmtId="174" fontId="45" fillId="0" borderId="81" applyAlignment="1" pivotButton="0" quotePrefix="0" xfId="0">
      <alignment horizontal="right"/>
    </xf>
    <xf numFmtId="174" fontId="24" fillId="0" borderId="80" applyAlignment="1" pivotButton="0" quotePrefix="0" xfId="0">
      <alignment horizontal="right"/>
    </xf>
    <xf numFmtId="174" fontId="21" fillId="0" borderId="81" applyAlignment="1" pivotButton="0" quotePrefix="0" xfId="0">
      <alignment horizontal="right"/>
    </xf>
    <xf numFmtId="173" fontId="10" fillId="0" borderId="80" applyAlignment="1" pivotButton="0" quotePrefix="0" xfId="0">
      <alignment horizontal="right"/>
    </xf>
    <xf numFmtId="174" fontId="15" fillId="0" borderId="0" applyAlignment="1" pivotButton="0" quotePrefix="0" xfId="0">
      <alignment horizontal="right"/>
    </xf>
    <xf numFmtId="174" fontId="21" fillId="18" borderId="0" applyAlignment="1" pivotButton="0" quotePrefix="0" xfId="0">
      <alignment horizontal="right"/>
    </xf>
    <xf numFmtId="174" fontId="21" fillId="18" borderId="80" applyAlignment="1" pivotButton="0" quotePrefix="0" xfId="0">
      <alignment horizontal="right"/>
    </xf>
    <xf numFmtId="174" fontId="10" fillId="0" borderId="73" applyAlignment="1" pivotButton="0" quotePrefix="0" xfId="0">
      <alignment horizontal="right"/>
    </xf>
    <xf numFmtId="173" fontId="41" fillId="0" borderId="73" applyAlignment="1" pivotButton="0" quotePrefix="0" xfId="0">
      <alignment horizontal="right"/>
    </xf>
    <xf numFmtId="174" fontId="23" fillId="17" borderId="0" applyAlignment="1" pivotButton="0" quotePrefix="0" xfId="0">
      <alignment horizontal="right"/>
    </xf>
    <xf numFmtId="174" fontId="23" fillId="17" borderId="73" applyAlignment="1" pivotButton="0" quotePrefix="0" xfId="0">
      <alignment horizontal="right"/>
    </xf>
    <xf numFmtId="174" fontId="23" fillId="17" borderId="1" applyAlignment="1" pivotButton="0" quotePrefix="0" xfId="0">
      <alignment horizontal="right"/>
    </xf>
    <xf numFmtId="174" fontId="23" fillId="17" borderId="74" applyAlignment="1" pivotButton="0" quotePrefix="0" xfId="0">
      <alignment horizontal="right"/>
    </xf>
    <xf numFmtId="174" fontId="23" fillId="2" borderId="1" applyAlignment="1" pivotButton="0" quotePrefix="0" xfId="0">
      <alignment horizontal="right"/>
    </xf>
    <xf numFmtId="174" fontId="23" fillId="2" borderId="81" applyAlignment="1" pivotButton="0" quotePrefix="0" xfId="0">
      <alignment horizontal="right"/>
    </xf>
    <xf numFmtId="174" fontId="23" fillId="0" borderId="81" applyAlignment="1" pivotButton="0" quotePrefix="0" xfId="0">
      <alignment horizontal="right"/>
    </xf>
    <xf numFmtId="174" fontId="23" fillId="0" borderId="73" applyAlignment="1" pivotButton="0" quotePrefix="0" xfId="0">
      <alignment horizontal="right"/>
    </xf>
    <xf numFmtId="174" fontId="19" fillId="17" borderId="0" applyAlignment="1" pivotButton="0" quotePrefix="0" xfId="0">
      <alignment horizontal="right"/>
    </xf>
    <xf numFmtId="174" fontId="19" fillId="17" borderId="73" applyAlignment="1" pivotButton="0" quotePrefix="0" xfId="0">
      <alignment horizontal="right"/>
    </xf>
    <xf numFmtId="174" fontId="19" fillId="0" borderId="0" applyAlignment="1" pivotButton="0" quotePrefix="0" xfId="0">
      <alignment horizontal="right"/>
    </xf>
    <xf numFmtId="174" fontId="19" fillId="0" borderId="73" applyAlignment="1" pivotButton="0" quotePrefix="0" xfId="0">
      <alignment horizontal="right"/>
    </xf>
    <xf numFmtId="173" fontId="19" fillId="17" borderId="0" applyAlignment="1" pivotButton="0" quotePrefix="0" xfId="0">
      <alignment horizontal="right"/>
    </xf>
    <xf numFmtId="173" fontId="19" fillId="17" borderId="73" applyAlignment="1" pivotButton="0" quotePrefix="0" xfId="0">
      <alignment horizontal="right"/>
    </xf>
    <xf numFmtId="174" fontId="23" fillId="16" borderId="1" applyAlignment="1" pivotButton="0" quotePrefix="0" xfId="0">
      <alignment horizontal="right"/>
    </xf>
    <xf numFmtId="174" fontId="23" fillId="16" borderId="81" applyAlignment="1" pivotButton="0" quotePrefix="0" xfId="0">
      <alignment horizontal="right"/>
    </xf>
    <xf numFmtId="173" fontId="19" fillId="0" borderId="80" applyAlignment="1" pivotButton="0" quotePrefix="0" xfId="0">
      <alignment horizontal="right"/>
    </xf>
    <xf numFmtId="173" fontId="11" fillId="17" borderId="0" applyAlignment="1" pivotButton="0" quotePrefix="0" xfId="0">
      <alignment horizontal="right"/>
    </xf>
    <xf numFmtId="173" fontId="11" fillId="17" borderId="73" applyAlignment="1" pivotButton="0" quotePrefix="0" xfId="0">
      <alignment horizontal="right"/>
    </xf>
    <xf numFmtId="173" fontId="11" fillId="0" borderId="0" applyAlignment="1" pivotButton="0" quotePrefix="0" xfId="0">
      <alignment horizontal="right"/>
    </xf>
    <xf numFmtId="173" fontId="11" fillId="0" borderId="80" applyAlignment="1" pivotButton="0" quotePrefix="0" xfId="0">
      <alignment horizontal="right"/>
    </xf>
    <xf numFmtId="173" fontId="0" fillId="0" borderId="0" applyAlignment="1" pivotButton="0" quotePrefix="0" xfId="0">
      <alignment horizontal="right"/>
    </xf>
    <xf numFmtId="173" fontId="0" fillId="0" borderId="73" applyAlignment="1" pivotButton="0" quotePrefix="0" xfId="0">
      <alignment horizontal="right"/>
    </xf>
    <xf numFmtId="173" fontId="0" fillId="0" borderId="80" applyAlignment="1" pivotButton="0" quotePrefix="0" xfId="0">
      <alignment horizontal="right"/>
    </xf>
    <xf numFmtId="174" fontId="23" fillId="0" borderId="80" applyAlignment="1" pivotButton="0" quotePrefix="0" xfId="0">
      <alignment horizontal="right"/>
    </xf>
    <xf numFmtId="173" fontId="23" fillId="17" borderId="0" applyAlignment="1" pivotButton="0" quotePrefix="0" xfId="0">
      <alignment horizontal="right"/>
    </xf>
    <xf numFmtId="174" fontId="23" fillId="13" borderId="0" applyAlignment="1" pivotButton="0" quotePrefix="0" xfId="0">
      <alignment horizontal="right"/>
    </xf>
    <xf numFmtId="174" fontId="19" fillId="0" borderId="80" applyAlignment="1" pivotButton="0" quotePrefix="0" xfId="0">
      <alignment horizontal="right"/>
    </xf>
    <xf numFmtId="169" fontId="21" fillId="0" borderId="0" applyAlignment="1" pivotButton="0" quotePrefix="0" xfId="0">
      <alignment horizontal="right"/>
    </xf>
    <xf numFmtId="169" fontId="24" fillId="0" borderId="80" applyAlignment="1" pivotButton="0" quotePrefix="0" xfId="0">
      <alignment horizontal="right"/>
    </xf>
    <xf numFmtId="173" fontId="19" fillId="17" borderId="1" applyAlignment="1" pivotButton="0" quotePrefix="0" xfId="0">
      <alignment horizontal="right"/>
    </xf>
    <xf numFmtId="169" fontId="21" fillId="16" borderId="1" applyAlignment="1" pivotButton="0" quotePrefix="0" xfId="0">
      <alignment horizontal="right"/>
    </xf>
    <xf numFmtId="169" fontId="21" fillId="16" borderId="11" applyAlignment="1" pivotButton="0" quotePrefix="0" xfId="0">
      <alignment horizontal="right"/>
    </xf>
    <xf numFmtId="173" fontId="19" fillId="17" borderId="8" applyAlignment="1" pivotButton="0" quotePrefix="0" xfId="0">
      <alignment horizontal="right"/>
    </xf>
    <xf numFmtId="169" fontId="20" fillId="7" borderId="79" applyAlignment="1" pivotButton="0" quotePrefix="0" xfId="0">
      <alignment horizontal="centerContinuous" vertical="center"/>
    </xf>
    <xf numFmtId="169" fontId="20" fillId="7" borderId="78" applyAlignment="1" pivotButton="0" quotePrefix="0" xfId="0">
      <alignment horizontal="center" vertical="center"/>
    </xf>
    <xf numFmtId="169" fontId="20" fillId="7" borderId="78" applyAlignment="1" pivotButton="0" quotePrefix="0" xfId="0">
      <alignment horizontal="centerContinuous" vertical="center"/>
    </xf>
    <xf numFmtId="169" fontId="25" fillId="7" borderId="18" applyAlignment="1" pivotButton="0" quotePrefix="0" xfId="0">
      <alignment horizontal="center" vertical="center"/>
    </xf>
    <xf numFmtId="169" fontId="25" fillId="7" borderId="77" applyAlignment="1" pivotButton="0" quotePrefix="0" xfId="0">
      <alignment horizontal="center" vertical="center"/>
    </xf>
    <xf numFmtId="169" fontId="60" fillId="0" borderId="0" pivotButton="0" quotePrefix="0" xfId="0"/>
    <xf numFmtId="169" fontId="10" fillId="0" borderId="5" applyAlignment="1" pivotButton="0" quotePrefix="0" xfId="0">
      <alignment horizontal="center" vertical="center"/>
    </xf>
    <xf numFmtId="169" fontId="10" fillId="4" borderId="5" applyAlignment="1" pivotButton="0" quotePrefix="0" xfId="0">
      <alignment horizontal="center" vertical="center"/>
    </xf>
    <xf numFmtId="169" fontId="10" fillId="16" borderId="5" applyAlignment="1" pivotButton="0" quotePrefix="0" xfId="0">
      <alignment horizontal="center" vertical="center"/>
    </xf>
    <xf numFmtId="0" fontId="69" fillId="0" borderId="0" pivotButton="0" quotePrefix="0" xfId="0"/>
    <xf numFmtId="179" fontId="65" fillId="0" borderId="0" pivotButton="0" quotePrefix="0" xfId="0"/>
    <xf numFmtId="3" fontId="65" fillId="0" borderId="0" pivotButton="0" quotePrefix="0" xfId="0"/>
    <xf numFmtId="181" fontId="64" fillId="0" borderId="0" pivotButton="0" quotePrefix="0" xfId="0"/>
    <xf numFmtId="181" fontId="66" fillId="0" borderId="0" pivotButton="0" quotePrefix="0" xfId="0"/>
    <xf numFmtId="3" fontId="64" fillId="0" borderId="0" pivotButton="0" quotePrefix="0" xfId="0"/>
    <xf numFmtId="1" fontId="65" fillId="21" borderId="0" pivotButton="0" quotePrefix="0" xfId="0"/>
    <xf numFmtId="0" fontId="69" fillId="0" borderId="0" applyAlignment="1" pivotButton="0" quotePrefix="0" xfId="0">
      <alignment horizontal="right"/>
    </xf>
    <xf numFmtId="181" fontId="65" fillId="0" borderId="0" pivotButton="0" quotePrefix="0" xfId="0"/>
    <xf numFmtId="182" fontId="64" fillId="0" borderId="0" pivotButton="0" quotePrefix="0" xfId="0"/>
    <xf numFmtId="183" fontId="64" fillId="0" borderId="0" pivotButton="0" quotePrefix="0" xfId="0"/>
    <xf numFmtId="184" fontId="64" fillId="0" borderId="0" pivotButton="0" quotePrefix="0" xfId="0"/>
    <xf numFmtId="185" fontId="64" fillId="0" borderId="0" pivotButton="0" quotePrefix="0" xfId="0"/>
    <xf numFmtId="3" fontId="66" fillId="0" borderId="0" pivotButton="0" quotePrefix="0" xfId="0"/>
    <xf numFmtId="186" fontId="66" fillId="0" borderId="0" pivotButton="0" quotePrefix="0" xfId="0"/>
    <xf numFmtId="0" fontId="70" fillId="0" borderId="0" pivotButton="0" quotePrefix="0" xfId="0"/>
  </cellXfs>
  <cellStyles count="5">
    <cellStyle name="Normal" xfId="0" builtinId="0"/>
    <cellStyle name="Normal 2" xfId="1"/>
    <cellStyle name="Normal 3" xfId="2"/>
    <cellStyle name="Hyperlink 2" xfId="3"/>
    <cellStyle name="Hyperlink" xfId="4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Summary!$C$7:$F$7</f>
              <strCache>
                <ptCount val="4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1C4587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Summary!$G$5:$M$5</f>
              <strCache>
                <ptCount val="7"/>
                <pt idx="0">
                  <v>FY2019</v>
                </pt>
                <pt idx="1">
                  <v>FY2020</v>
                </pt>
                <pt idx="2">
                  <v>FY2021</v>
                </pt>
                <pt idx="3">
                  <v>09/30/22</v>
                </pt>
                <pt idx="4">
                  <v>FY2022E</v>
                </pt>
                <pt idx="5">
                  <v>FY2023E</v>
                </pt>
                <pt idx="6">
                  <v>FY2024E</v>
                </pt>
              </strCache>
            </strRef>
          </cat>
          <val>
            <numRef>
              <f>Summary!$G$7:$M$7</f>
              <numCache>
                <formatCode>"$"#,##0.0_);"(""$"#,##0.0")";"-"_)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ser>
          <idx val="1"/>
          <order val="1"/>
          <tx>
            <strRef>
              <f>Summary!$C$16:$F$16</f>
              <strCache>
                <ptCount val="4"/>
                <pt idx="0">
                  <v>EBITDA</v>
                </pt>
              </strCache>
            </strRef>
          </tx>
          <spPr>
            <a:solidFill xmlns:a="http://schemas.openxmlformats.org/drawingml/2006/main">
              <a:srgbClr val="FFC000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Summary!$G$5:$M$5</f>
              <strCache>
                <ptCount val="7"/>
                <pt idx="0">
                  <v>FY2019</v>
                </pt>
                <pt idx="1">
                  <v>FY2020</v>
                </pt>
                <pt idx="2">
                  <v>FY2021</v>
                </pt>
                <pt idx="3">
                  <v>09/30/22</v>
                </pt>
                <pt idx="4">
                  <v>FY2022E</v>
                </pt>
                <pt idx="5">
                  <v>FY2023E</v>
                </pt>
                <pt idx="6">
                  <v>FY2024E</v>
                </pt>
              </strCache>
            </strRef>
          </cat>
          <val>
            <numRef>
              <f>Summary!$G$16:$M$16</f>
              <numCache>
                <formatCode>"$"#,##0.0_);"(""$"#,##0.0")";"-"_)</formatCode>
                <ptCount val="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5"/>
        <axId val="258755663"/>
        <axId val="258756495"/>
      </barChart>
      <lineChart>
        <grouping val="standard"/>
        <varyColors val="0"/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58751503"/>
        <axId val="258753167"/>
      </lineChart>
      <catAx>
        <axId val="25875566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050" b="1" i="0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t>None</a:t>
            </a:r>
            <a:endParaRPr lang="en-US"/>
          </a:p>
        </txPr>
        <crossAx val="258756495"/>
        <crosses val="autoZero"/>
        <auto val="1"/>
        <lblAlgn val="ctr"/>
        <lblOffset val="100"/>
        <noMultiLvlLbl val="0"/>
      </catAx>
      <valAx>
        <axId val="258756495"/>
        <scaling>
          <orientation val="minMax"/>
        </scaling>
        <delete val="1"/>
        <axPos val="l"/>
        <numFmt formatCode="&quot;$&quot;#,##0.0_);&quot;(&quot;&quot;$&quot;#,##0.0&quot;)&quot;;&quot;-&quot;_)" sourceLinked="1"/>
        <majorTickMark val="none"/>
        <minorTickMark val="none"/>
        <tickLblPos val="nextTo"/>
        <crossAx val="258755663"/>
        <crosses val="autoZero"/>
        <crossBetween val="between"/>
      </valAx>
      <catAx>
        <axId val="258751503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258753167"/>
        <crosses val="autoZero"/>
        <auto val="1"/>
        <lblAlgn val="ctr"/>
        <lblOffset val="100"/>
        <noMultiLvlLbl val="0"/>
      </catAx>
      <valAx>
        <axId val="258753167"/>
        <scaling>
          <orientation val="minMax"/>
        </scaling>
        <delete val="1"/>
        <axPos val="r"/>
        <numFmt formatCode="0.0%_);&quot;(&quot;0.0%&quot;)&quot;;&quot;-&quot;_)" sourceLinked="1"/>
        <majorTickMark val="out"/>
        <minorTickMark val="none"/>
        <tickLblPos val="nextTo"/>
        <crossAx val="258751503"/>
        <crosses val="max"/>
        <crossBetween val="between"/>
      </valAx>
    </plotArea>
    <legend>
      <legendPos val="l"/>
      <layout>
        <manualLayout>
          <xMode val="edge"/>
          <yMode val="edge"/>
          <wMode val="factor"/>
          <hMode val="factor"/>
          <x val="0.006759611322348965"/>
          <y val="0.02415274769994692"/>
          <w val="0.1116778290668982"/>
          <h val="0.1080596004287883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050" b="0" i="0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r>
            <a:t>None</a:t>
          </a:r>
          <a:endParaRPr lang="en-US"/>
        </a:p>
      </txPr>
    </legend>
    <plotVisOnly val="1"/>
    <dispBlanksAs val="gap"/>
  </chart>
  <spPr>
    <a:noFill xmlns:a="http://schemas.openxmlformats.org/drawingml/2006/main"/>
    <a:ln xmlns:a="http://schemas.openxmlformats.org/drawingml/2006/main" w="9525" cap="flat" cmpd="sng" algn="ctr">
      <a:noFill/>
      <a:prstDash val="solid"/>
      <a:round/>
    </a:ln>
  </spPr>
</chartSpace>
</file>

<file path=xl/comments/comment1.xml><?xml version="1.0" encoding="utf-8"?>
<comments xmlns="http://schemas.openxmlformats.org/spreadsheetml/2006/main">
  <authors>
    <author>Nick Contreras</author>
  </authors>
  <commentList>
    <comment ref="P18" authorId="0" shapeId="0">
      <text>
        <t>CareerXL:
This needs to be 1 + Growth or it will botch model, so for 1%, should be 101%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1</col>
      <colOff>571500</colOff>
      <row>1</row>
      <rowOff>57150</rowOff>
    </from>
    <to>
      <col>9</col>
      <colOff>145597</colOff>
      <row>29</row>
      <rowOff>54157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nick@careerxl.com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theme="1"/>
    <outlinePr summaryBelow="1" summaryRight="1"/>
    <pageSetUpPr/>
  </sheetPr>
  <dimension ref="A1:G20"/>
  <sheetViews>
    <sheetView showGridLines="0" zoomScale="70" zoomScaleNormal="70" zoomScaleSheetLayoutView="145" workbookViewId="0">
      <selection activeCell="A1" sqref="A1"/>
    </sheetView>
  </sheetViews>
  <sheetFormatPr baseColWidth="8" defaultColWidth="0" defaultRowHeight="12.75" zeroHeight="1"/>
  <cols>
    <col width="8.73046875" customWidth="1" style="360" min="1" max="7"/>
    <col hidden="1" width="8.73046875" customWidth="1" style="360" min="8" max="16384"/>
  </cols>
  <sheetData>
    <row r="1" ht="13.5" customHeight="1">
      <c r="A1" s="17" t="n"/>
      <c r="B1" s="17" t="n"/>
      <c r="C1" s="17" t="n"/>
      <c r="D1" s="17" t="n"/>
      <c r="E1" s="17" t="n"/>
      <c r="F1" s="17" t="n"/>
      <c r="G1" s="17" t="n"/>
    </row>
    <row r="2" ht="13.5" customHeight="1">
      <c r="A2" s="17" t="n"/>
      <c r="B2" s="17" t="n"/>
      <c r="C2" s="17" t="n"/>
      <c r="D2" s="17" t="n"/>
      <c r="E2" s="17" t="n"/>
      <c r="F2" s="17" t="n"/>
      <c r="G2" s="17" t="n"/>
    </row>
    <row r="3" ht="13.5" customHeight="1">
      <c r="A3" s="17" t="n"/>
      <c r="B3" s="17" t="n"/>
      <c r="C3" s="17" t="n"/>
      <c r="D3" s="17" t="n"/>
      <c r="E3" s="17" t="n"/>
      <c r="F3" s="17" t="n"/>
      <c r="G3" s="17" t="n"/>
    </row>
    <row r="4" ht="13.5" customHeight="1">
      <c r="A4" s="17" t="n"/>
      <c r="B4" s="17" t="n"/>
      <c r="C4" s="17" t="n"/>
      <c r="D4" s="17" t="n"/>
      <c r="E4" s="17" t="n"/>
      <c r="F4" s="17" t="n"/>
      <c r="G4" s="17" t="n"/>
    </row>
    <row r="5" ht="13.5" customHeight="1">
      <c r="A5" s="17" t="n"/>
      <c r="B5" s="17" t="n"/>
      <c r="C5" s="17" t="n"/>
      <c r="D5" s="17" t="n"/>
      <c r="E5" s="17" t="n"/>
      <c r="F5" s="17" t="n"/>
      <c r="G5" s="17" t="n"/>
    </row>
    <row r="6" ht="13.5" customHeight="1">
      <c r="A6" s="17" t="n"/>
      <c r="B6" s="17" t="n"/>
      <c r="C6" s="17" t="n"/>
      <c r="D6" s="17" t="n"/>
      <c r="E6" s="17" t="n"/>
      <c r="F6" s="17" t="n"/>
      <c r="G6" s="17" t="n"/>
    </row>
    <row r="7" ht="13.5" customHeight="1">
      <c r="A7" s="17" t="n"/>
      <c r="B7" s="17" t="n"/>
      <c r="C7" s="17" t="n"/>
      <c r="D7" s="17" t="n"/>
      <c r="E7" s="17" t="n"/>
      <c r="F7" s="17" t="n"/>
      <c r="G7" s="17" t="n"/>
    </row>
    <row r="8" ht="13.5" customHeight="1">
      <c r="A8" s="17" t="n"/>
      <c r="B8" s="17" t="n"/>
      <c r="C8" s="17" t="n"/>
      <c r="D8" s="17" t="n"/>
      <c r="E8" s="17" t="n"/>
      <c r="F8" s="17" t="n"/>
      <c r="G8" s="17" t="n"/>
    </row>
    <row r="9" ht="13.5" customHeight="1">
      <c r="A9" s="17" t="n"/>
      <c r="B9" s="17" t="n"/>
      <c r="C9" s="17" t="n"/>
      <c r="D9" s="17" t="n"/>
      <c r="E9" s="17" t="n"/>
      <c r="F9" s="17" t="n"/>
      <c r="G9" s="17" t="n"/>
    </row>
    <row r="10" ht="13.5" customHeight="1">
      <c r="A10" s="17" t="n"/>
      <c r="B10" s="17" t="n"/>
      <c r="C10" s="17" t="n"/>
      <c r="D10" s="17" t="n"/>
      <c r="E10" s="17" t="n"/>
      <c r="F10" s="17" t="n"/>
      <c r="G10" s="17" t="n"/>
    </row>
    <row r="11" ht="13.5" customHeight="1">
      <c r="A11" s="17" t="n"/>
      <c r="B11" s="17" t="n"/>
      <c r="C11" s="17" t="n"/>
      <c r="D11" s="17" t="n"/>
      <c r="E11" s="17" t="n"/>
      <c r="F11" s="17" t="n"/>
      <c r="G11" s="17" t="n"/>
    </row>
    <row r="12" ht="13.5" customHeight="1">
      <c r="A12" s="17" t="n"/>
      <c r="B12" s="17" t="n"/>
      <c r="C12" s="17" t="n"/>
      <c r="D12" s="17" t="n"/>
      <c r="E12" s="17" t="n"/>
      <c r="F12" s="17" t="n"/>
      <c r="G12" s="17" t="n"/>
    </row>
    <row r="13" ht="13.5" customHeight="1">
      <c r="A13" s="17" t="n"/>
      <c r="B13" s="17" t="n"/>
      <c r="C13" s="17" t="n"/>
      <c r="D13" s="17" t="n"/>
      <c r="E13" s="17" t="n"/>
      <c r="F13" s="17" t="n"/>
      <c r="G13" s="17" t="n"/>
    </row>
    <row r="14" ht="13.5" customHeight="1">
      <c r="A14" s="17" t="n"/>
      <c r="B14" s="1" t="inlineStr">
        <is>
          <t>Date:</t>
        </is>
      </c>
      <c r="C14" s="1" t="n"/>
      <c r="D14" s="1" t="n"/>
      <c r="E14" s="1" t="n"/>
      <c r="F14" s="617">
        <f>NOW()</f>
        <v/>
      </c>
      <c r="G14" s="17" t="n"/>
    </row>
    <row r="15" ht="13.5" customHeight="1">
      <c r="A15" s="17" t="n"/>
      <c r="B15" s="1" t="inlineStr">
        <is>
          <t>Contact:</t>
        </is>
      </c>
      <c r="C15" s="1" t="n"/>
      <c r="D15" s="1" t="n"/>
      <c r="E15" s="1" t="n"/>
      <c r="F15" s="362" t="inlineStr">
        <is>
          <t>nick@careerxl.com</t>
        </is>
      </c>
      <c r="G15" s="17" t="n"/>
    </row>
    <row r="16" ht="13.5" customHeight="1">
      <c r="A16" s="17" t="n"/>
      <c r="B16" s="1" t="inlineStr">
        <is>
          <t>Website:</t>
        </is>
      </c>
      <c r="C16" s="1" t="n"/>
      <c r="D16" s="1" t="n"/>
      <c r="E16" s="1" t="n"/>
      <c r="F16" s="4" t="inlineStr">
        <is>
          <t>careerxl.com</t>
        </is>
      </c>
      <c r="G16" s="17" t="n"/>
    </row>
    <row r="17" ht="13.5" customHeight="1">
      <c r="A17" s="17" t="n"/>
      <c r="B17" s="1" t="n"/>
      <c r="C17" s="1" t="n"/>
      <c r="D17" s="1" t="n"/>
      <c r="E17" s="1" t="n"/>
      <c r="F17" s="4" t="n"/>
      <c r="G17" s="17" t="n"/>
    </row>
    <row r="18" ht="13.5" customHeight="1">
      <c r="A18" s="17" t="n"/>
      <c r="B18" s="1" t="n"/>
      <c r="C18" s="1" t="n"/>
      <c r="D18" s="1" t="n"/>
      <c r="E18" s="1" t="n"/>
      <c r="F18" s="3" t="n"/>
      <c r="G18" s="17" t="n"/>
    </row>
    <row r="19" ht="13.9" customHeight="1">
      <c r="A19" s="17" t="n"/>
      <c r="B19" s="361" t="inlineStr">
        <is>
          <t>PRIVATE - NOT FOR REDISTRIBUTION</t>
        </is>
      </c>
      <c r="C19" s="5" t="n"/>
      <c r="D19" s="5" t="n"/>
      <c r="E19" s="5" t="n"/>
      <c r="F19" s="5" t="n"/>
      <c r="G19" s="17" t="n"/>
    </row>
    <row r="20" ht="13.5" customHeight="1">
      <c r="A20" s="17" t="n"/>
      <c r="B20" s="17" t="n"/>
      <c r="C20" s="17" t="n"/>
      <c r="D20" s="17" t="n"/>
      <c r="E20" s="17" t="n"/>
      <c r="F20" s="17" t="n"/>
      <c r="G20" s="17" t="n"/>
    </row>
  </sheetData>
  <hyperlinks>
    <hyperlink xmlns:r="http://schemas.openxmlformats.org/officeDocument/2006/relationships" ref="F15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tabColor rgb="FF16395B"/>
    <outlinePr summaryBelow="1" summaryRight="1"/>
    <pageSetUpPr/>
  </sheetPr>
  <dimension ref="A1:A1"/>
  <sheetViews>
    <sheetView view="pageBreakPreview" zoomScale="70" zoomScaleNormal="100" zoomScaleSheetLayoutView="70" workbookViewId="0">
      <selection activeCell="A1" sqref="A1"/>
    </sheetView>
  </sheetViews>
  <sheetFormatPr baseColWidth="8" defaultRowHeight="12.75"/>
  <sheetData/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="http://schemas.openxmlformats.org/spreadsheetml/2006/main">
  <sheetPr>
    <tabColor rgb="FF0000FF"/>
    <outlinePr summaryBelow="1" summaryRight="1"/>
    <pageSetUpPr/>
  </sheetPr>
  <dimension ref="C3:Q20"/>
  <sheetViews>
    <sheetView showGridLines="0" view="pageBreakPreview" zoomScale="70" zoomScaleNormal="100" zoomScaleSheetLayoutView="70" workbookViewId="0">
      <selection activeCell="A1" sqref="A1"/>
    </sheetView>
  </sheetViews>
  <sheetFormatPr baseColWidth="8" defaultColWidth="0" defaultRowHeight="13.5" zeroHeight="1"/>
  <cols>
    <col width="1.59765625" customWidth="1" style="8" min="1" max="1"/>
    <col width="1.73046875" customWidth="1" style="8" min="2" max="2"/>
    <col width="9.19921875" customWidth="1" style="8" min="3" max="6"/>
    <col width="15.73046875" customWidth="1" style="8" min="7" max="7"/>
    <col width="1.73046875" customWidth="1" style="8" min="8" max="8"/>
    <col width="1.59765625" customWidth="1" style="8" min="9" max="9"/>
    <col width="1.73046875" customWidth="1" style="8" min="10" max="10"/>
    <col width="9.19921875" customWidth="1" style="8" min="11" max="17"/>
    <col width="1.73046875" customWidth="1" style="8" min="18" max="18"/>
    <col width="9.19921875" customWidth="1" style="8" min="19" max="19"/>
    <col hidden="1" width="9.19921875" customWidth="1" style="8" min="20" max="16384"/>
  </cols>
  <sheetData>
    <row r="1" ht="10.05" customHeight="1"/>
    <row r="2" ht="10.05" customHeight="1" thickBot="1"/>
    <row r="3" ht="20" customHeight="1" thickBot="1">
      <c r="C3" s="150" t="inlineStr">
        <is>
          <t>Assumptions</t>
        </is>
      </c>
      <c r="D3" s="151" t="n"/>
      <c r="E3" s="151" t="n"/>
      <c r="F3" s="151" t="n"/>
      <c r="G3" s="153" t="n"/>
      <c r="K3" s="150" t="inlineStr">
        <is>
          <t>Formatting</t>
        </is>
      </c>
      <c r="L3" s="150" t="n"/>
      <c r="M3" s="150" t="n"/>
      <c r="N3" s="150" t="n"/>
      <c r="O3" s="150" t="n"/>
      <c r="P3" s="150" t="n"/>
      <c r="Q3" s="188" t="n"/>
    </row>
    <row r="4" ht="5.2" customHeight="1"/>
    <row r="5" ht="14.55" customFormat="1" customHeight="1" s="349" thickBot="1">
      <c r="C5" s="349" t="inlineStr">
        <is>
          <t>Company Name:</t>
        </is>
      </c>
      <c r="G5" s="189" t="inlineStr">
        <is>
          <t>Copart, Inc. (CPRT)</t>
        </is>
      </c>
      <c r="O5" s="350" t="inlineStr">
        <is>
          <t>R</t>
        </is>
      </c>
      <c r="P5" s="351" t="inlineStr">
        <is>
          <t>G</t>
        </is>
      </c>
      <c r="Q5" s="352" t="inlineStr">
        <is>
          <t>B</t>
        </is>
      </c>
    </row>
    <row r="6" ht="14.55" customHeight="1" thickBot="1">
      <c r="C6" s="8" t="inlineStr">
        <is>
          <t>Historicals Start Date</t>
        </is>
      </c>
      <c r="G6" s="190">
        <f>YEAR(G7)-3</f>
        <v/>
      </c>
      <c r="K6" s="150" t="inlineStr">
        <is>
          <t>Header</t>
        </is>
      </c>
      <c r="L6" s="153" t="n"/>
      <c r="O6" s="191" t="n">
        <v>22</v>
      </c>
      <c r="P6" s="191" t="n">
        <v>57</v>
      </c>
      <c r="Q6" s="191" t="n">
        <v>91</v>
      </c>
    </row>
    <row r="7" ht="14.55" customHeight="1" thickBot="1">
      <c r="C7" s="8" t="inlineStr">
        <is>
          <t>LTM Period</t>
        </is>
      </c>
      <c r="G7" s="192" t="n">
        <v>46234</v>
      </c>
      <c r="K7" s="194" t="inlineStr">
        <is>
          <t>Emphasis 1</t>
        </is>
      </c>
      <c r="L7" s="195" t="n"/>
      <c r="O7" s="191" t="n">
        <v>221</v>
      </c>
      <c r="P7" s="191" t="n">
        <v>221</v>
      </c>
      <c r="Q7" s="191" t="n">
        <v>221</v>
      </c>
    </row>
    <row r="8" ht="14.55" customHeight="1" thickBot="1">
      <c r="C8" s="8" t="inlineStr">
        <is>
          <t>Conversion Rate</t>
        </is>
      </c>
      <c r="G8" s="618" t="n">
        <v>1</v>
      </c>
      <c r="K8" s="197" t="inlineStr">
        <is>
          <t>Emphasis 2</t>
        </is>
      </c>
      <c r="L8" s="198" t="n"/>
      <c r="O8" s="191" t="n">
        <v>191</v>
      </c>
      <c r="P8" s="191" t="n">
        <v>191</v>
      </c>
      <c r="Q8" s="191" t="n">
        <v>191</v>
      </c>
    </row>
    <row r="9" ht="14.55" customHeight="1" thickBot="1">
      <c r="C9" s="8" t="inlineStr">
        <is>
          <t>Units</t>
        </is>
      </c>
      <c r="G9" s="196" t="inlineStr">
        <is>
          <t>($ in millions)</t>
        </is>
      </c>
      <c r="K9" s="199" t="inlineStr">
        <is>
          <t>Emphasis 3</t>
        </is>
      </c>
      <c r="L9" s="200" t="n"/>
      <c r="O9" s="191" t="n">
        <v>255</v>
      </c>
      <c r="P9" s="191" t="n">
        <v>242</v>
      </c>
      <c r="Q9" s="191" t="n">
        <v>204</v>
      </c>
    </row>
    <row r="10" ht="15" customHeight="1"/>
    <row r="11" ht="14.55" customHeight="1">
      <c r="K11" s="132" t="inlineStr">
        <is>
          <t>Hardcoded</t>
        </is>
      </c>
      <c r="O11" s="191" t="n">
        <v>0</v>
      </c>
      <c r="P11" s="191" t="n">
        <v>0</v>
      </c>
      <c r="Q11" s="191" t="n">
        <v>252</v>
      </c>
    </row>
    <row r="12" ht="14.55" customHeight="1">
      <c r="K12" s="8" t="inlineStr">
        <is>
          <t>Formulas</t>
        </is>
      </c>
      <c r="O12" s="191" t="n">
        <v>0</v>
      </c>
      <c r="P12" s="191" t="n">
        <v>0</v>
      </c>
      <c r="Q12" s="191" t="n">
        <v>0</v>
      </c>
    </row>
    <row r="13" ht="14.55" customHeight="1">
      <c r="K13" s="201" t="inlineStr">
        <is>
          <t>Linked Outside of Sheet</t>
        </is>
      </c>
      <c r="O13" s="191" t="n">
        <v>0</v>
      </c>
      <c r="P13" s="191" t="n">
        <v>128</v>
      </c>
      <c r="Q13" s="191" t="n">
        <v>0</v>
      </c>
    </row>
    <row r="14" ht="14.55" customHeight="1">
      <c r="K14" s="202" t="inlineStr">
        <is>
          <t>Linked Inside of Sheet</t>
        </is>
      </c>
      <c r="O14" s="191" t="n">
        <v>128</v>
      </c>
      <c r="P14" s="191" t="n">
        <v>0</v>
      </c>
      <c r="Q14" s="191" t="n">
        <v>128</v>
      </c>
    </row>
    <row r="15" ht="14.55" customHeight="1">
      <c r="K15" s="203" t="inlineStr">
        <is>
          <t>Unique Entry / Formula</t>
        </is>
      </c>
      <c r="O15" s="191" t="n">
        <v>255</v>
      </c>
      <c r="P15" s="191" t="n">
        <v>0</v>
      </c>
      <c r="Q15" s="191" t="n">
        <v>0</v>
      </c>
    </row>
    <row r="16" ht="10.05" customHeight="1">
      <c r="O16" s="191" t="n"/>
      <c r="P16" s="191" t="n"/>
      <c r="Q16" s="191" t="n"/>
    </row>
    <row r="17">
      <c r="O17" s="191" t="n"/>
      <c r="P17" s="191" t="n"/>
      <c r="Q17" s="191" t="n"/>
    </row>
    <row r="18" hidden="1">
      <c r="O18" s="191" t="n"/>
      <c r="P18" s="191" t="n"/>
      <c r="Q18" s="191" t="n"/>
    </row>
    <row r="19" hidden="1">
      <c r="O19" s="191" t="n"/>
      <c r="P19" s="191" t="n"/>
      <c r="Q19" s="191" t="n"/>
    </row>
    <row r="20" hidden="1">
      <c r="O20" s="191" t="n"/>
      <c r="P20" s="191" t="n"/>
      <c r="Q20" s="191" t="n"/>
    </row>
    <row r="36" hidden="1"/>
  </sheetData>
  <dataValidations count="2">
    <dataValidation sqref="G9" showDropDown="0" showInputMessage="1" showErrorMessage="1" allowBlank="1" type="list">
      <formula1>"($),($000's),($ in millions),($ in billions)"</formula1>
    </dataValidation>
    <dataValidation sqref="G8" showDropDown="0" showInputMessage="1" showErrorMessage="1" allowBlank="1" type="list">
      <formula1>"1,1000,1000000,1000000000"</formula1>
    </dataValidation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rgb="FF0000FF"/>
    <outlinePr summaryBelow="1" summaryRight="1"/>
    <pageSetUpPr/>
  </sheetPr>
  <dimension ref="C3:K16"/>
  <sheetViews>
    <sheetView showGridLines="0" view="pageBreakPreview" zoomScale="70" zoomScaleNormal="100" zoomScaleSheetLayoutView="70" workbookViewId="0">
      <selection activeCell="A1" sqref="A1"/>
    </sheetView>
  </sheetViews>
  <sheetFormatPr baseColWidth="8" defaultColWidth="0" defaultRowHeight="12.75" zeroHeight="1"/>
  <cols>
    <col width="1.59765625" customWidth="1" min="1" max="1"/>
    <col width="1.73046875" customWidth="1" min="2" max="2"/>
    <col width="8.73046875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1.73046875" customWidth="1" min="12" max="12"/>
    <col width="1.59765625" customWidth="1" min="13" max="13"/>
    <col hidden="1" width="8.73046875" customWidth="1" min="14" max="16384"/>
  </cols>
  <sheetData>
    <row r="1" ht="10.05" customHeight="1"/>
    <row r="2" ht="10.05" customHeight="1"/>
    <row r="3" ht="20.2" customHeight="1">
      <c r="C3" s="204" t="inlineStr">
        <is>
          <t>Model Notes - Copart, Inc. (CPRT) SHORT</t>
        </is>
      </c>
      <c r="D3" s="205" t="n"/>
      <c r="E3" s="205" t="n"/>
      <c r="F3" s="205" t="n"/>
      <c r="G3" s="205" t="n"/>
      <c r="H3" s="205" t="n"/>
      <c r="I3" s="205" t="n"/>
      <c r="J3" s="205" t="n"/>
      <c r="K3" s="205" t="n"/>
    </row>
    <row r="4" ht="5.2" customHeight="1" thickBot="1"/>
    <row r="5" ht="66" customHeight="1" thickBot="1">
      <c r="C5" s="188" t="n">
        <v>1</v>
      </c>
      <c r="D5" s="619" t="inlineStr">
        <is>
          <t>Short CPRT at $27.36 (Sep 30, 2026), target $21.50 (-21%), 6-12 months. Copart is a toll road paid per car, and fewer cars are using the road. Target = 15x FY27E EPS of $1.44; DCF, comps and LBO are cross-checks. Printed case = memo base case (Support!D16 = 2); bear $16.84 / bull $33.90 sit on the switch; probability-weighted $23.45 is a note.</t>
        </is>
      </c>
    </row>
    <row r="6" ht="66" customHeight="1" thickBot="1">
      <c r="C6" s="188">
        <f>+C5+1</f>
        <v/>
      </c>
      <c r="D6" s="620" t="inlineStr">
        <is>
          <t>Three mechanisms, each a driver. (a) Structural claim decline: units -3% FY27E (Drivers row 192); insurance CPI +49% and repair CPI +57% since 2019, miles driven already 2% above 2019, AEB mandatory Sep 2029. (b) Share loss to IAA: 63.9% to 61.4%, ~167k cars, ~$166M service revenue, Progressive ~90% to IAA (Support rows 62-80). (c) Operating leverage the wrong way: Q4 facility cost per car +14.2% vs revenue per car +5.4%; margin to 33.0% (row 204); interest income $182M to $110M (row 207).</t>
        </is>
      </c>
    </row>
    <row r="7" ht="66" customHeight="1" thickBot="1">
      <c r="C7" s="188">
        <f>+C6+1</f>
        <v/>
      </c>
      <c r="D7" s="620" t="inlineStr">
        <is>
          <t>Margin path (what drops). Operating margin (Drivers row 204): 38.4% FY23A, 37.1%, 36.5%, 35.4% FY26A, 33.0% FY27E. FY23A-FY26A, -300bp of revenue: G&amp;A +263bp, facility operations +206bp, D&amp;A +98bp, less cost of vehicle sales -267bp. FY26A-FY27E, -242bp: facility operations +227bp, D&amp;A +15bp; G&amp;A and cost of vehicle sales held at FY26 rates. Cause: a growing cost base serves fewer cars. Q4 FY26 US facility cost rose 7.7% on 5.7% fewer US cars (+14.2% per car); management cites long-haul delivery ($17M of the increase), Title Express, wholesale yards and new capacity. Base FY27E: facility cost +$122M (+7.0%) on 3% fewer cars; cost per car +10.3% vs revenue per car +4.0%.</t>
        </is>
      </c>
    </row>
    <row r="8" ht="66" customHeight="1" thickBot="1">
      <c r="C8" s="188">
        <f>+C7+1</f>
        <v/>
      </c>
      <c r="D8" s="620" t="inlineStr">
        <is>
          <t>Margin path (why 33.0%, and why it holds). FY27E is not a new leg down: FY26A's 35.4% blends 36.5% for the first nine months with a 32.0% Q4 exit ($368.9M / $1,152.4M), so 33.0% sits 100bp above the exit rate. Held to FY36E (Drivers row 205 = 0): units grow only +0.5% a year from FY30E, so no volume re-absorbs yard cost. Management says it will cut cost per car but gives no guidance; no credit given. +100bp of FY27E margin = ~$47M EBIT, ~$0.04 EPS, ~$0.61 on the target; bull case 36.5% = FY25A level. Net margin falls more (31.8% to 28.5%) as interest income drops from $182M to $110M after the ACV payment.</t>
        </is>
      </c>
    </row>
    <row r="9" ht="66" customHeight="1" thickBot="1">
      <c r="C9" s="188">
        <f>+C8+1</f>
        <v/>
      </c>
      <c r="D9" s="620" t="inlineStr">
        <is>
          <t>Variant view: Street has FY27 EPS $1.75 (+11% per memo) and treats 17.6x vs a 34x ten-year median as a cyclical dip. Model FY27E EPS $1.44, 18% below; Street is a reference cell only (Support!D10). Unlike prior 30%+ drawdowns, trailing EPS is falling.</t>
        </is>
      </c>
    </row>
    <row r="10" ht="66" customHeight="1" thickBot="1">
      <c r="C10" s="188">
        <f>+C9+1</f>
        <v/>
      </c>
      <c r="D10" s="620" t="inlineStr">
        <is>
          <t>Falsifiers: cover if collision frequency is positive for two quarters; the lost-customer lap is already in the -3% unit assumption; catastrophe volume is excluded from the trend; stop reference $32.60 (above the 50-day and the 23.6% retracement). Short interest 4.6% of float is context, not an input.</t>
        </is>
      </c>
    </row>
    <row r="11" ht="66" customHeight="1" thickBot="1">
      <c r="C11" s="188">
        <f>+C10+1</f>
        <v/>
      </c>
      <c r="D11" s="620" t="inlineStr">
        <is>
          <t>Catalysts: Q1 FY27 on Nov 19, 2026 (Street $0.40 vs $0.41); RB Global Q3 in early Nov; ACV close by year-end 2026; monthly CCC / insurer claim prints.</t>
        </is>
      </c>
    </row>
    <row r="12" ht="66" customHeight="1" thickBot="1">
      <c r="C12" s="188">
        <f>+C11+1</f>
        <v/>
      </c>
      <c r="D12" s="620" t="inlineStr">
        <is>
          <t>Column map (no columns inserted): G = FY2023A (year ended July 31, 2023), H = FY2024A, I = FY2025A, J = FY2026A / LTM (July 31, 2026), K-T = FY2027E-FY2036E. Pitch window FY27E-FY31E; FY32E-FY36E fade (units +0.5%, revenue per unit to +1.5%, margin flat). DCF columns G-P = FY27E-FY36E. Units: $ millions except per share; shares in millions.</t>
        </is>
      </c>
    </row>
    <row r="13" ht="66" customHeight="1" thickBot="1">
      <c r="C13" s="188">
        <f>+C12+1</f>
        <v/>
      </c>
      <c r="D13" s="620" t="inlineStr">
        <is>
          <t>Definitions. Cash = cash, equivalents, restricted cash + held-to-maturity securities ($4,489.8M FY26). Debt = revolver + term loan = 0; finance leases are not split out on the balance sheet (immaterial) and sit in lease liabilities. Capex and buybacks are negative (template sign). Net income = attributable to Copart: NCI loss runs through Other (Income)/Expense, so template EBT = reported pre-tax income + NCI loss ($3.9M FY26). Facility operations and G&amp;A include their SBC; D&amp;A is the cash-flow-statement total, so template gross profit is before D&amp;A (reported FY26 gross profit $2,083.9M = template $2,294.6M - $201.7M facility D&amp;A - $9.1M).</t>
        </is>
      </c>
    </row>
    <row r="14" ht="66" customHeight="1" thickBot="1">
      <c r="C14" s="188">
        <f>+C13+1</f>
        <v/>
      </c>
      <c r="D14" s="620" t="inlineStr">
        <is>
          <t>Filing vs memo flags. ACV: 8-K says ~$1.9B equity value; memo ~$1.8B; model uses $1.9B. Revenue $4,666M (memo $4.67B), operating income $1,652.6M, EPS $1.55, buybacks $1,632.5M, interest income net $181.9M: all tie. EV/EBITDA on CFS D&amp;A is 11.0x vs memo 11.1x. Street growth is +12.8% on $1.55, memo says +11%. Memo Exhibit 2 base target is $21.54 vs headline $21.50. Bull EPS computes to $1.67 vs memo $1.70 (see Support row 35). Unit levels are an index on the memo 4.0M base; Copart discloses growth rates only.</t>
        </is>
      </c>
    </row>
    <row r="15" ht="66" customHeight="1">
      <c r="C15" s="188">
        <f>+C14+1</f>
        <v/>
      </c>
      <c r="D15" s="620" t="inlineStr">
        <is>
          <t>Template formula changes (logged, none to force a result): first forecast column rolls from J (FY26A) instead of I; EPS row on Multiples &amp; Ratios was market cap / shares, now net income / shares; Summary FCF rows for interest, other and taxes now subtract; Financial Model H127:I127, Drivers G148:J148 (pointed at retained earnings) and L150:T150 reference fixes; LBO management rollover made non-circular; historical reconciling line (row 131) closes the derived cash-flow statement in FY23-FY26 only; DCF cost of debt and capital structure are inputs per brief; LBO cash is after ACV and row 83 excludes acquisitions; Comps stats wrapped in IFERROR.</t>
        </is>
      </c>
    </row>
    <row r="16" ht="66" customHeight="1">
      <c r="C16" s="188">
        <f>+C15+1</f>
        <v/>
      </c>
      <c r="D16" s="620" t="inlineStr">
        <is>
          <t>Open items left blank and flagged, not invented: OPENLANE multiples and RBA / LKQ full comps lines as of Sep 30, 2026 (only memo forward P/Es loaded); ACV EV and profit measure (not in the 8-K); gross PP&amp;E / accumulated depreciation split; FY23 unit KPIs; IAA unit forecast (KPI 3 forecast = n/a); 2-year weekly beta not re-estimated (1.0 per brief); 10-K cover share count. DCF vs target and LBO IRR: see Support rows 88-116.</t>
        </is>
      </c>
    </row>
    <row r="17" ht="10.05" customHeight="1"/>
  </sheetData>
  <mergeCells count="12">
    <mergeCell ref="D9:K9"/>
    <mergeCell ref="D7:K7"/>
    <mergeCell ref="D8:K8"/>
    <mergeCell ref="D6:K6"/>
    <mergeCell ref="D15:K15"/>
    <mergeCell ref="D16:K16"/>
    <mergeCell ref="D11:K11"/>
    <mergeCell ref="D10:K10"/>
    <mergeCell ref="D14:K14"/>
    <mergeCell ref="D13:K13"/>
    <mergeCell ref="D5:K5"/>
    <mergeCell ref="D12:K12"/>
  </mergeCells>
  <pageMargins left="0.7" right="0.7" top="0.75" bottom="0.75" header="0.3" footer="0.3"/>
  <pageSetup orientation="portrait" scale="92" horizontalDpi="300" verticalDpi="300"/>
</worksheet>
</file>

<file path=xl/worksheets/sheet5.xml><?xml version="1.0" encoding="utf-8"?>
<worksheet xmlns="http://schemas.openxmlformats.org/spreadsheetml/2006/main">
  <sheetPr>
    <tabColor rgb="FF16395B"/>
    <outlinePr summaryBelow="1" summaryRight="1"/>
    <pageSetUpPr/>
  </sheetPr>
  <dimension ref="A1:A1"/>
  <sheetViews>
    <sheetView view="pageBreakPreview" zoomScale="70" zoomScaleNormal="100" zoomScaleSheetLayoutView="70" workbookViewId="0">
      <selection activeCell="A1" sqref="A1"/>
    </sheetView>
  </sheetViews>
  <sheetFormatPr baseColWidth="8" defaultRowHeight="12.75"/>
  <sheetData>
    <row r="1" ht="20.2" customHeight="1"/>
  </sheetData>
  <pageMargins left="0.7" right="0.7" top="0.75" bottom="0.75" header="0.3" footer="0.3"/>
  <pageSetup orientation="portrait" horizontalDpi="300" verticalDpi="300"/>
</worksheet>
</file>

<file path=xl/worksheets/sheet6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C2:T43"/>
  <sheetViews>
    <sheetView showGridLines="0" view="pageBreakPreview" zoomScale="85" zoomScaleNormal="100" zoomScaleSheetLayoutView="85" workbookViewId="0">
      <selection activeCell="A1" sqref="A1"/>
    </sheetView>
  </sheetViews>
  <sheetFormatPr baseColWidth="8" defaultColWidth="0" defaultRowHeight="13.5" zeroHeight="1" outlineLevelRow="2"/>
  <cols>
    <col width="1.59765625" customWidth="1" style="8" min="1" max="2"/>
    <col width="9.19921875" customWidth="1" style="8" min="3" max="6"/>
    <col width="10.59765625" customWidth="1" style="8" min="7" max="13"/>
    <col outlineLevel="1" width="10.59765625" customWidth="1" style="8" min="14" max="20"/>
    <col width="1.59765625" customWidth="1" style="8" min="21" max="22"/>
    <col hidden="1" width="8.73046875" customWidth="1" style="8" min="23" max="23"/>
    <col hidden="1" width="15.73046875" customWidth="1" style="8" min="24" max="30"/>
    <col hidden="1" width="8.73046875" customWidth="1" style="8" min="31" max="35"/>
    <col hidden="1" width="5.73046875" customWidth="1" style="8" min="36" max="36"/>
    <col hidden="1" width="11.53125" customWidth="1" style="8" min="37" max="42"/>
    <col hidden="1" width="8.73046875" customWidth="1" style="8" min="43" max="43"/>
    <col hidden="1" width="9.19921875" customWidth="1" style="8" min="44" max="16384"/>
  </cols>
  <sheetData>
    <row r="2" ht="10.05" customHeight="1" thickBot="1">
      <c r="C2" s="280" t="n"/>
      <c r="D2" s="281" t="n"/>
      <c r="E2" s="281" t="n"/>
      <c r="F2" s="281" t="n"/>
      <c r="G2" s="281" t="n"/>
      <c r="H2" s="281" t="n"/>
      <c r="I2" s="281" t="n"/>
      <c r="J2" s="281" t="n"/>
      <c r="K2" s="281" t="n"/>
      <c r="L2" s="281" t="n"/>
      <c r="M2" s="281" t="n"/>
      <c r="N2" s="281" t="n"/>
      <c r="O2" s="281" t="n"/>
      <c r="P2" s="281" t="n"/>
      <c r="Q2" s="281" t="n"/>
      <c r="R2" s="281" t="n"/>
      <c r="S2" s="281" t="n"/>
      <c r="T2" s="281" t="n"/>
    </row>
    <row r="3" outlineLevel="2" ht="14.55" customHeight="1">
      <c r="C3" s="174">
        <f>Assumptions!G5</f>
        <v/>
      </c>
      <c r="D3" s="175" t="n"/>
      <c r="E3" s="175" t="n"/>
      <c r="F3" s="175" t="n"/>
      <c r="G3" s="175" t="n"/>
      <c r="H3" s="175" t="n"/>
      <c r="I3" s="175" t="n"/>
      <c r="J3" s="176" t="n"/>
      <c r="K3" s="177" t="n"/>
      <c r="L3" s="175" t="n"/>
      <c r="M3" s="175" t="n"/>
      <c r="N3" s="175" t="n"/>
      <c r="O3" s="175" t="n"/>
      <c r="P3" s="175" t="n"/>
      <c r="Q3" s="175" t="n"/>
      <c r="R3" s="175" t="n"/>
      <c r="S3" s="175" t="n"/>
      <c r="T3" s="175" t="n"/>
    </row>
    <row r="4" outlineLevel="1" ht="14.55" customHeight="1">
      <c r="C4" s="178" t="inlineStr">
        <is>
          <t>Financial Summary</t>
        </is>
      </c>
      <c r="D4" s="179" t="n"/>
      <c r="E4" s="179" t="n"/>
      <c r="F4" s="179" t="n"/>
      <c r="G4" s="179" t="n"/>
      <c r="H4" s="179" t="n"/>
      <c r="I4" s="179" t="n"/>
      <c r="J4" s="180" t="inlineStr">
        <is>
          <t>FY26A / LTM</t>
        </is>
      </c>
      <c r="K4" s="181" t="n"/>
      <c r="L4" s="179" t="n"/>
      <c r="M4" s="179" t="n"/>
      <c r="N4" s="179" t="n"/>
      <c r="O4" s="179" t="n"/>
      <c r="P4" s="179" t="n"/>
      <c r="Q4" s="179" t="n"/>
      <c r="R4" s="179" t="n"/>
      <c r="S4" s="179" t="n"/>
      <c r="T4" s="179" t="n"/>
    </row>
    <row r="5" ht="14.55" customHeight="1" thickBot="1">
      <c r="C5" s="182">
        <f>+Assumptions!G9</f>
        <v/>
      </c>
      <c r="D5" s="183" t="n"/>
      <c r="E5" s="183" t="n"/>
      <c r="F5" s="183" t="n"/>
      <c r="G5" s="183">
        <f>'Historical Financials'!G5</f>
        <v/>
      </c>
      <c r="H5" s="183">
        <f>'Historical Financials'!H5</f>
        <v/>
      </c>
      <c r="I5" s="183">
        <f>'Historical Financials'!I5</f>
        <v/>
      </c>
      <c r="J5" s="621">
        <f>'Historical Financials'!J5</f>
        <v/>
      </c>
      <c r="K5" s="185">
        <f>'Financial Model'!K5</f>
        <v/>
      </c>
      <c r="L5" s="183">
        <f>'Financial Model'!L5</f>
        <v/>
      </c>
      <c r="M5" s="183">
        <f>'Financial Model'!M5</f>
        <v/>
      </c>
      <c r="N5" s="183">
        <f>'Financial Model'!N5</f>
        <v/>
      </c>
      <c r="O5" s="183">
        <f>'Financial Model'!O5</f>
        <v/>
      </c>
      <c r="P5" s="183">
        <f>'Financial Model'!P5</f>
        <v/>
      </c>
      <c r="Q5" s="183">
        <f>'Financial Model'!Q5</f>
        <v/>
      </c>
      <c r="R5" s="183">
        <f>'Financial Model'!R5</f>
        <v/>
      </c>
      <c r="S5" s="183">
        <f>'Financial Model'!S5</f>
        <v/>
      </c>
      <c r="T5" s="183">
        <f>'Financial Model'!T5</f>
        <v/>
      </c>
    </row>
    <row r="6" ht="5.2" customHeight="1">
      <c r="C6" s="62" t="n"/>
      <c r="D6" s="62" t="n"/>
      <c r="E6" s="62" t="n"/>
      <c r="F6" s="62" t="n"/>
      <c r="G6" s="186" t="n"/>
      <c r="H6" s="186" t="n"/>
      <c r="I6" s="186" t="n"/>
      <c r="J6" s="186" t="n"/>
      <c r="K6" s="187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</row>
    <row r="7" ht="13.9" customHeight="1">
      <c r="C7" s="244">
        <f>'Financial Model'!C9</f>
        <v/>
      </c>
      <c r="D7" s="212" t="n"/>
      <c r="E7" s="212" t="n"/>
      <c r="F7" s="212" t="n"/>
      <c r="G7" s="622">
        <f>'Financial Model'!G9</f>
        <v/>
      </c>
      <c r="H7" s="622">
        <f>'Financial Model'!H9</f>
        <v/>
      </c>
      <c r="I7" s="622">
        <f>'Financial Model'!I9</f>
        <v/>
      </c>
      <c r="J7" s="622">
        <f>'Financial Model'!J9</f>
        <v/>
      </c>
      <c r="K7" s="623">
        <f>'Financial Model'!K9</f>
        <v/>
      </c>
      <c r="L7" s="622">
        <f>'Financial Model'!L9</f>
        <v/>
      </c>
      <c r="M7" s="622">
        <f>'Financial Model'!M9</f>
        <v/>
      </c>
      <c r="N7" s="622">
        <f>'Financial Model'!N9</f>
        <v/>
      </c>
      <c r="O7" s="622">
        <f>'Financial Model'!O9</f>
        <v/>
      </c>
      <c r="P7" s="622">
        <f>'Financial Model'!P9</f>
        <v/>
      </c>
      <c r="Q7" s="622">
        <f>'Financial Model'!Q9</f>
        <v/>
      </c>
      <c r="R7" s="622">
        <f>'Financial Model'!R9</f>
        <v/>
      </c>
      <c r="S7" s="622">
        <f>'Financial Model'!S9</f>
        <v/>
      </c>
      <c r="T7" s="622">
        <f>'Financial Model'!T9</f>
        <v/>
      </c>
    </row>
    <row r="8" ht="13.9" customFormat="1" customHeight="1" s="307">
      <c r="C8" s="306" t="inlineStr">
        <is>
          <t>% Growth</t>
        </is>
      </c>
      <c r="G8" s="310">
        <f>'Financial Model'!$G$10</f>
        <v/>
      </c>
      <c r="H8" s="308">
        <f>+H7/G7-1</f>
        <v/>
      </c>
      <c r="I8" s="308">
        <f>+I7/H7-1</f>
        <v/>
      </c>
      <c r="J8" s="311">
        <f>'Financial Model'!$J$10</f>
        <v/>
      </c>
      <c r="K8" s="309">
        <f>+K7/J7-1</f>
        <v/>
      </c>
      <c r="L8" s="308">
        <f>+L7/K7-1</f>
        <v/>
      </c>
      <c r="M8" s="308">
        <f>+M7/L7-1</f>
        <v/>
      </c>
      <c r="N8" s="308">
        <f>+N7/M7-1</f>
        <v/>
      </c>
      <c r="O8" s="308">
        <f>+O7/N7-1</f>
        <v/>
      </c>
      <c r="P8" s="308">
        <f>+P7/O7-1</f>
        <v/>
      </c>
      <c r="Q8" s="308">
        <f>+Q7/P7-1</f>
        <v/>
      </c>
      <c r="R8" s="308">
        <f>+R7/Q7-1</f>
        <v/>
      </c>
      <c r="S8" s="308">
        <f>+S7/R7-1</f>
        <v/>
      </c>
      <c r="T8" s="308">
        <f>+T7/S7-1</f>
        <v/>
      </c>
    </row>
    <row r="9" ht="12.75" customHeight="1">
      <c r="K9" s="299" t="n"/>
    </row>
    <row r="10" ht="13.9" customHeight="1">
      <c r="C10" s="244">
        <f>'Financial Model'!C18</f>
        <v/>
      </c>
      <c r="D10" s="212" t="n"/>
      <c r="E10" s="212" t="n"/>
      <c r="F10" s="212" t="n"/>
      <c r="G10" s="622">
        <f>'Financial Model'!G18</f>
        <v/>
      </c>
      <c r="H10" s="622">
        <f>'Financial Model'!H18</f>
        <v/>
      </c>
      <c r="I10" s="622">
        <f>'Financial Model'!I18</f>
        <v/>
      </c>
      <c r="J10" s="622">
        <f>'Financial Model'!J18</f>
        <v/>
      </c>
      <c r="K10" s="623">
        <f>'Financial Model'!K18</f>
        <v/>
      </c>
      <c r="L10" s="622">
        <f>'Financial Model'!L18</f>
        <v/>
      </c>
      <c r="M10" s="622">
        <f>'Financial Model'!M18</f>
        <v/>
      </c>
      <c r="N10" s="622">
        <f>'Financial Model'!N18</f>
        <v/>
      </c>
      <c r="O10" s="622">
        <f>'Financial Model'!O18</f>
        <v/>
      </c>
      <c r="P10" s="622">
        <f>'Financial Model'!P18</f>
        <v/>
      </c>
      <c r="Q10" s="622">
        <f>'Financial Model'!Q18</f>
        <v/>
      </c>
      <c r="R10" s="622">
        <f>'Financial Model'!R18</f>
        <v/>
      </c>
      <c r="S10" s="622">
        <f>'Financial Model'!S18</f>
        <v/>
      </c>
      <c r="T10" s="622">
        <f>'Financial Model'!T18</f>
        <v/>
      </c>
    </row>
    <row r="11" ht="13.9" customFormat="1" customHeight="1" s="307">
      <c r="C11" s="306" t="inlineStr">
        <is>
          <t>% Gross Margin</t>
        </is>
      </c>
      <c r="G11" s="308">
        <f>+G10/G$7</f>
        <v/>
      </c>
      <c r="H11" s="308">
        <f>+H10/H$7</f>
        <v/>
      </c>
      <c r="I11" s="308">
        <f>+I10/I$7</f>
        <v/>
      </c>
      <c r="J11" s="308">
        <f>+J10/J$7</f>
        <v/>
      </c>
      <c r="K11" s="309">
        <f>+K10/K$7</f>
        <v/>
      </c>
      <c r="L11" s="308">
        <f>+L10/L$7</f>
        <v/>
      </c>
      <c r="M11" s="308">
        <f>+M10/M$7</f>
        <v/>
      </c>
      <c r="N11" s="308">
        <f>+N10/N$7</f>
        <v/>
      </c>
      <c r="O11" s="308">
        <f>+O10/O$7</f>
        <v/>
      </c>
      <c r="P11" s="308">
        <f>+P10/P$7</f>
        <v/>
      </c>
      <c r="Q11" s="308">
        <f>+Q10/Q$7</f>
        <v/>
      </c>
      <c r="R11" s="308">
        <f>+R10/R$7</f>
        <v/>
      </c>
      <c r="S11" s="308">
        <f>+S10/S$7</f>
        <v/>
      </c>
      <c r="T11" s="308">
        <f>+T10/T$7</f>
        <v/>
      </c>
    </row>
    <row r="12" ht="12.75" customHeight="1">
      <c r="K12" s="299" t="n"/>
    </row>
    <row r="13">
      <c r="C13" s="201">
        <f>'Financial Model'!C24</f>
        <v/>
      </c>
      <c r="D13" s="201" t="n"/>
      <c r="E13" s="201" t="n"/>
      <c r="F13" s="201" t="n"/>
      <c r="G13" s="624">
        <f>'Financial Model'!G24</f>
        <v/>
      </c>
      <c r="H13" s="624">
        <f>'Financial Model'!H24</f>
        <v/>
      </c>
      <c r="I13" s="624">
        <f>'Financial Model'!I24</f>
        <v/>
      </c>
      <c r="J13" s="624">
        <f>'Financial Model'!J24</f>
        <v/>
      </c>
      <c r="K13" s="625">
        <f>'Financial Model'!K24</f>
        <v/>
      </c>
      <c r="L13" s="624">
        <f>'Financial Model'!L24</f>
        <v/>
      </c>
      <c r="M13" s="624">
        <f>'Financial Model'!M24</f>
        <v/>
      </c>
      <c r="N13" s="624">
        <f>'Financial Model'!N24</f>
        <v/>
      </c>
      <c r="O13" s="624">
        <f>'Financial Model'!O24</f>
        <v/>
      </c>
      <c r="P13" s="624">
        <f>'Financial Model'!P24</f>
        <v/>
      </c>
      <c r="Q13" s="624">
        <f>'Financial Model'!Q24</f>
        <v/>
      </c>
      <c r="R13" s="624">
        <f>'Financial Model'!R24</f>
        <v/>
      </c>
      <c r="S13" s="624">
        <f>'Financial Model'!S24</f>
        <v/>
      </c>
      <c r="T13" s="624">
        <f>'Financial Model'!T24</f>
        <v/>
      </c>
    </row>
    <row r="14" ht="13.9" customFormat="1" customHeight="1" s="307">
      <c r="C14" s="306">
        <f>'Financial Model'!C25</f>
        <v/>
      </c>
      <c r="G14" s="308">
        <f>+G13/G$7</f>
        <v/>
      </c>
      <c r="H14" s="308">
        <f>+H13/H$7</f>
        <v/>
      </c>
      <c r="I14" s="308">
        <f>+I13/I$7</f>
        <v/>
      </c>
      <c r="J14" s="308">
        <f>+J13/J$7</f>
        <v/>
      </c>
      <c r="K14" s="309">
        <f>+K13/K$7</f>
        <v/>
      </c>
      <c r="L14" s="308">
        <f>+L13/L$7</f>
        <v/>
      </c>
      <c r="M14" s="308">
        <f>+M13/M$7</f>
        <v/>
      </c>
      <c r="N14" s="308">
        <f>+N13/N$7</f>
        <v/>
      </c>
      <c r="O14" s="308">
        <f>+O13/O$7</f>
        <v/>
      </c>
      <c r="P14" s="308">
        <f>+P13/P$7</f>
        <v/>
      </c>
      <c r="Q14" s="308">
        <f>+Q13/Q$7</f>
        <v/>
      </c>
      <c r="R14" s="308">
        <f>+R13/R$7</f>
        <v/>
      </c>
      <c r="S14" s="308">
        <f>+S13/S$7</f>
        <v/>
      </c>
      <c r="T14" s="308">
        <f>+T13/T$7</f>
        <v/>
      </c>
    </row>
    <row r="15" ht="12.75" customHeight="1">
      <c r="K15" s="299" t="n"/>
    </row>
    <row r="16" ht="13.9" customHeight="1">
      <c r="C16" s="391">
        <f>'Financial Model'!C27</f>
        <v/>
      </c>
      <c r="D16" s="300" t="n"/>
      <c r="E16" s="300" t="n"/>
      <c r="F16" s="300" t="n"/>
      <c r="G16" s="626">
        <f>'Financial Model'!G27</f>
        <v/>
      </c>
      <c r="H16" s="626">
        <f>'Financial Model'!H27</f>
        <v/>
      </c>
      <c r="I16" s="626">
        <f>'Financial Model'!I27</f>
        <v/>
      </c>
      <c r="J16" s="626">
        <f>'Financial Model'!J27</f>
        <v/>
      </c>
      <c r="K16" s="627">
        <f>'Financial Model'!K27</f>
        <v/>
      </c>
      <c r="L16" s="626">
        <f>'Financial Model'!L27</f>
        <v/>
      </c>
      <c r="M16" s="626">
        <f>'Financial Model'!M27</f>
        <v/>
      </c>
      <c r="N16" s="626">
        <f>'Financial Model'!N27</f>
        <v/>
      </c>
      <c r="O16" s="626">
        <f>'Financial Model'!O27</f>
        <v/>
      </c>
      <c r="P16" s="626">
        <f>'Financial Model'!P27</f>
        <v/>
      </c>
      <c r="Q16" s="626">
        <f>'Financial Model'!Q27</f>
        <v/>
      </c>
      <c r="R16" s="626">
        <f>'Financial Model'!R27</f>
        <v/>
      </c>
      <c r="S16" s="626">
        <f>'Financial Model'!S27</f>
        <v/>
      </c>
      <c r="T16" s="626">
        <f>'Financial Model'!T27</f>
        <v/>
      </c>
    </row>
    <row r="17" ht="13.9" customFormat="1" customHeight="1" s="307">
      <c r="C17" s="306">
        <f>'Financial Model'!C28</f>
        <v/>
      </c>
      <c r="G17" s="308">
        <f>+G16/G$7</f>
        <v/>
      </c>
      <c r="H17" s="308">
        <f>+H16/H$7</f>
        <v/>
      </c>
      <c r="I17" s="308">
        <f>+I16/I$7</f>
        <v/>
      </c>
      <c r="J17" s="308">
        <f>+J16/J$7</f>
        <v/>
      </c>
      <c r="K17" s="309">
        <f>+K16/K$7</f>
        <v/>
      </c>
      <c r="L17" s="308">
        <f>+L16/L$7</f>
        <v/>
      </c>
      <c r="M17" s="308">
        <f>+M16/M$7</f>
        <v/>
      </c>
      <c r="N17" s="308">
        <f>+N16/N$7</f>
        <v/>
      </c>
      <c r="O17" s="308">
        <f>+O16/O$7</f>
        <v/>
      </c>
      <c r="P17" s="308">
        <f>+P16/P$7</f>
        <v/>
      </c>
      <c r="Q17" s="308">
        <f>+Q16/Q$7</f>
        <v/>
      </c>
      <c r="R17" s="308">
        <f>+R16/R$7</f>
        <v/>
      </c>
      <c r="S17" s="308">
        <f>+S16/S$7</f>
        <v/>
      </c>
      <c r="T17" s="308">
        <f>+T16/T$7</f>
        <v/>
      </c>
    </row>
    <row r="18">
      <c r="K18" s="299" t="n"/>
    </row>
    <row r="19">
      <c r="C19" s="215" t="inlineStr">
        <is>
          <t>- Interest</t>
        </is>
      </c>
      <c r="G19" s="628">
        <f>-'Financial Model'!G34</f>
        <v/>
      </c>
      <c r="H19" s="628">
        <f>-'Financial Model'!H34</f>
        <v/>
      </c>
      <c r="I19" s="628">
        <f>-'Financial Model'!I34</f>
        <v/>
      </c>
      <c r="J19" s="628">
        <f>-'Financial Model'!J34</f>
        <v/>
      </c>
      <c r="K19" s="628">
        <f>-'Financial Model'!K34</f>
        <v/>
      </c>
      <c r="L19" s="628">
        <f>-'Financial Model'!L34</f>
        <v/>
      </c>
      <c r="M19" s="628">
        <f>-'Financial Model'!M34</f>
        <v/>
      </c>
      <c r="N19" s="628">
        <f>-'Financial Model'!N34</f>
        <v/>
      </c>
      <c r="O19" s="628">
        <f>-'Financial Model'!O34</f>
        <v/>
      </c>
      <c r="P19" s="628">
        <f>-'Financial Model'!P34</f>
        <v/>
      </c>
      <c r="Q19" s="628">
        <f>-'Financial Model'!Q34</f>
        <v/>
      </c>
      <c r="R19" s="628">
        <f>-'Financial Model'!R34</f>
        <v/>
      </c>
      <c r="S19" s="628">
        <f>-'Financial Model'!S34</f>
        <v/>
      </c>
      <c r="T19" s="628">
        <f>-'Financial Model'!T34</f>
        <v/>
      </c>
    </row>
    <row r="20">
      <c r="C20" s="215" t="inlineStr">
        <is>
          <t>- Other Expenses</t>
        </is>
      </c>
      <c r="G20" s="628">
        <f>-'Financial Model'!G35</f>
        <v/>
      </c>
      <c r="H20" s="628">
        <f>-'Financial Model'!H35</f>
        <v/>
      </c>
      <c r="I20" s="628">
        <f>-'Financial Model'!I35</f>
        <v/>
      </c>
      <c r="J20" s="628">
        <f>-'Financial Model'!J35</f>
        <v/>
      </c>
      <c r="K20" s="628">
        <f>-'Financial Model'!K35</f>
        <v/>
      </c>
      <c r="L20" s="628">
        <f>-'Financial Model'!L35</f>
        <v/>
      </c>
      <c r="M20" s="628">
        <f>-'Financial Model'!M35</f>
        <v/>
      </c>
      <c r="N20" s="628">
        <f>-'Financial Model'!N35</f>
        <v/>
      </c>
      <c r="O20" s="628">
        <f>-'Financial Model'!O35</f>
        <v/>
      </c>
      <c r="P20" s="628">
        <f>-'Financial Model'!P35</f>
        <v/>
      </c>
      <c r="Q20" s="628">
        <f>-'Financial Model'!Q35</f>
        <v/>
      </c>
      <c r="R20" s="628">
        <f>-'Financial Model'!R35</f>
        <v/>
      </c>
      <c r="S20" s="628">
        <f>-'Financial Model'!S35</f>
        <v/>
      </c>
      <c r="T20" s="628">
        <f>-'Financial Model'!T35</f>
        <v/>
      </c>
    </row>
    <row r="21">
      <c r="C21" s="215" t="inlineStr">
        <is>
          <t>- Taxes</t>
        </is>
      </c>
      <c r="G21" s="628">
        <f>-'Financial Model'!G38</f>
        <v/>
      </c>
      <c r="H21" s="628">
        <f>-'Financial Model'!H38</f>
        <v/>
      </c>
      <c r="I21" s="628">
        <f>-'Financial Model'!I38</f>
        <v/>
      </c>
      <c r="J21" s="628">
        <f>-'Financial Model'!J38</f>
        <v/>
      </c>
      <c r="K21" s="628">
        <f>-'Financial Model'!K38</f>
        <v/>
      </c>
      <c r="L21" s="628">
        <f>-'Financial Model'!L38</f>
        <v/>
      </c>
      <c r="M21" s="628">
        <f>-'Financial Model'!M38</f>
        <v/>
      </c>
      <c r="N21" s="628">
        <f>-'Financial Model'!N38</f>
        <v/>
      </c>
      <c r="O21" s="628">
        <f>-'Financial Model'!O38</f>
        <v/>
      </c>
      <c r="P21" s="628">
        <f>-'Financial Model'!P38</f>
        <v/>
      </c>
      <c r="Q21" s="628">
        <f>-'Financial Model'!Q38</f>
        <v/>
      </c>
      <c r="R21" s="628">
        <f>-'Financial Model'!R38</f>
        <v/>
      </c>
      <c r="S21" s="628">
        <f>-'Financial Model'!S38</f>
        <v/>
      </c>
      <c r="T21" s="628">
        <f>-'Financial Model'!T38</f>
        <v/>
      </c>
    </row>
    <row r="22">
      <c r="C22" s="215" t="inlineStr">
        <is>
          <t>+/- ∆ Net Working Capital</t>
        </is>
      </c>
      <c r="G22" s="628">
        <f>'Financial Model'!G114</f>
        <v/>
      </c>
      <c r="H22" s="628">
        <f>'Financial Model'!H114</f>
        <v/>
      </c>
      <c r="I22" s="628">
        <f>'Financial Model'!I114</f>
        <v/>
      </c>
      <c r="J22" s="628">
        <f>'Financial Model'!J114</f>
        <v/>
      </c>
      <c r="K22" s="628">
        <f>'Financial Model'!K114</f>
        <v/>
      </c>
      <c r="L22" s="628">
        <f>'Financial Model'!L114</f>
        <v/>
      </c>
      <c r="M22" s="628">
        <f>'Financial Model'!M114</f>
        <v/>
      </c>
      <c r="N22" s="628">
        <f>'Financial Model'!N114</f>
        <v/>
      </c>
      <c r="O22" s="628">
        <f>'Financial Model'!O114</f>
        <v/>
      </c>
      <c r="P22" s="628">
        <f>'Financial Model'!P114</f>
        <v/>
      </c>
      <c r="Q22" s="628">
        <f>'Financial Model'!Q114</f>
        <v/>
      </c>
      <c r="R22" s="628">
        <f>'Financial Model'!R114</f>
        <v/>
      </c>
      <c r="S22" s="628">
        <f>'Financial Model'!S114</f>
        <v/>
      </c>
      <c r="T22" s="628">
        <f>'Financial Model'!T114</f>
        <v/>
      </c>
    </row>
    <row r="23">
      <c r="C23" s="215" t="inlineStr">
        <is>
          <t>- Capex</t>
        </is>
      </c>
      <c r="G23" s="628">
        <f>'Financial Model'!G118</f>
        <v/>
      </c>
      <c r="H23" s="628">
        <f>'Financial Model'!H118</f>
        <v/>
      </c>
      <c r="I23" s="628">
        <f>'Financial Model'!I118</f>
        <v/>
      </c>
      <c r="J23" s="628">
        <f>'Financial Model'!J118</f>
        <v/>
      </c>
      <c r="K23" s="629">
        <f>'Financial Model'!K118</f>
        <v/>
      </c>
      <c r="L23" s="628">
        <f>'Financial Model'!L118</f>
        <v/>
      </c>
      <c r="M23" s="628">
        <f>'Financial Model'!M118</f>
        <v/>
      </c>
      <c r="N23" s="628">
        <f>'Financial Model'!N118</f>
        <v/>
      </c>
      <c r="O23" s="628">
        <f>'Financial Model'!O118</f>
        <v/>
      </c>
      <c r="P23" s="628">
        <f>'Financial Model'!P118</f>
        <v/>
      </c>
      <c r="Q23" s="628">
        <f>'Financial Model'!Q118</f>
        <v/>
      </c>
      <c r="R23" s="628">
        <f>'Financial Model'!R118</f>
        <v/>
      </c>
      <c r="S23" s="628">
        <f>'Financial Model'!S118</f>
        <v/>
      </c>
      <c r="T23" s="628">
        <f>'Financial Model'!T118</f>
        <v/>
      </c>
    </row>
    <row r="24" ht="13.9" customHeight="1">
      <c r="C24" s="303" t="inlineStr">
        <is>
          <t>Free Cash Flow (FCF)</t>
        </is>
      </c>
      <c r="D24" s="303" t="n"/>
      <c r="E24" s="303" t="n"/>
      <c r="F24" s="303" t="n"/>
      <c r="G24" s="630">
        <f>SUM(G19:G23)+G16</f>
        <v/>
      </c>
      <c r="H24" s="630">
        <f>SUM(H19:H23)+H16</f>
        <v/>
      </c>
      <c r="I24" s="630">
        <f>SUM(I19:I23)+I16</f>
        <v/>
      </c>
      <c r="J24" s="630">
        <f>SUM(J19:J23)+J16</f>
        <v/>
      </c>
      <c r="K24" s="631">
        <f>SUM(K19:K23)+K16</f>
        <v/>
      </c>
      <c r="L24" s="630">
        <f>SUM(L19:L23)+L16</f>
        <v/>
      </c>
      <c r="M24" s="630">
        <f>SUM(M19:M23)+M16</f>
        <v/>
      </c>
      <c r="N24" s="630">
        <f>SUM(N19:N23)+N16</f>
        <v/>
      </c>
      <c r="O24" s="630">
        <f>SUM(O19:O23)+O16</f>
        <v/>
      </c>
      <c r="P24" s="630">
        <f>SUM(P19:P23)+P16</f>
        <v/>
      </c>
      <c r="Q24" s="630">
        <f>SUM(Q19:Q23)+Q16</f>
        <v/>
      </c>
      <c r="R24" s="630">
        <f>SUM(R19:R23)+R16</f>
        <v/>
      </c>
      <c r="S24" s="630">
        <f>SUM(S19:S23)+S16</f>
        <v/>
      </c>
      <c r="T24" s="630">
        <f>SUM(T19:T23)+T16</f>
        <v/>
      </c>
    </row>
    <row r="25" ht="13.9" customFormat="1" customHeight="1" s="307">
      <c r="C25" s="306" t="inlineStr">
        <is>
          <t>% FCF Margin</t>
        </is>
      </c>
      <c r="G25" s="308">
        <f>+G24/G$7</f>
        <v/>
      </c>
      <c r="H25" s="308">
        <f>+H24/H$7</f>
        <v/>
      </c>
      <c r="I25" s="308">
        <f>+I24/I$7</f>
        <v/>
      </c>
      <c r="J25" s="308">
        <f>+J24/J$7</f>
        <v/>
      </c>
      <c r="K25" s="309">
        <f>+K24/K$7</f>
        <v/>
      </c>
      <c r="L25" s="308">
        <f>+L24/L$7</f>
        <v/>
      </c>
      <c r="M25" s="308">
        <f>+M24/M$7</f>
        <v/>
      </c>
      <c r="N25" s="308">
        <f>+N24/N$7</f>
        <v/>
      </c>
      <c r="O25" s="308">
        <f>+O24/O$7</f>
        <v/>
      </c>
      <c r="P25" s="308">
        <f>+P24/P$7</f>
        <v/>
      </c>
      <c r="Q25" s="308">
        <f>+Q24/Q$7</f>
        <v/>
      </c>
      <c r="R25" s="308">
        <f>+R24/R$7</f>
        <v/>
      </c>
      <c r="S25" s="308">
        <f>+S24/S$7</f>
        <v/>
      </c>
      <c r="T25" s="308">
        <f>+T24/T$7</f>
        <v/>
      </c>
    </row>
    <row r="26" ht="13.9" customFormat="1" customHeight="1" s="307">
      <c r="C26" s="306" t="inlineStr">
        <is>
          <t>% FCF Growth</t>
        </is>
      </c>
      <c r="G26" s="11" t="inlineStr">
        <is>
          <t>n/a</t>
        </is>
      </c>
      <c r="H26" s="308">
        <f>+H24/G24-1</f>
        <v/>
      </c>
      <c r="I26" s="308">
        <f>+I24/H24-1</f>
        <v/>
      </c>
      <c r="J26" s="11">
        <f>+J24/I24-1</f>
        <v/>
      </c>
      <c r="K26" s="309">
        <f>+K24/J24-1</f>
        <v/>
      </c>
      <c r="L26" s="308">
        <f>+L24/K24-1</f>
        <v/>
      </c>
      <c r="M26" s="308">
        <f>+M24/L24-1</f>
        <v/>
      </c>
      <c r="N26" s="308">
        <f>+N24/M24-1</f>
        <v/>
      </c>
      <c r="O26" s="308">
        <f>+O24/N24-1</f>
        <v/>
      </c>
      <c r="P26" s="308">
        <f>+P24/O24-1</f>
        <v/>
      </c>
      <c r="Q26" s="308">
        <f>+Q24/P24-1</f>
        <v/>
      </c>
      <c r="R26" s="308">
        <f>+R24/Q24-1</f>
        <v/>
      </c>
      <c r="S26" s="308">
        <f>+S24/R24-1</f>
        <v/>
      </c>
      <c r="T26" s="308">
        <f>+T24/S24-1</f>
        <v/>
      </c>
    </row>
    <row r="27">
      <c r="C27" s="214" t="n"/>
    </row>
    <row r="28" ht="13.9" customHeight="1">
      <c r="C28" s="357" t="inlineStr">
        <is>
          <t>Key Performance Indicators</t>
        </is>
      </c>
      <c r="D28" s="353" t="n"/>
      <c r="E28" s="353" t="n"/>
      <c r="F28" s="353" t="n"/>
      <c r="G28" s="353" t="n"/>
      <c r="H28" s="353" t="n"/>
      <c r="I28" s="353" t="n"/>
      <c r="J28" s="353" t="n"/>
      <c r="K28" s="353" t="n"/>
      <c r="L28" s="353" t="n"/>
      <c r="M28" s="353" t="n"/>
      <c r="N28" s="353" t="n"/>
      <c r="O28" s="353" t="n"/>
      <c r="P28" s="353" t="n"/>
      <c r="Q28" s="353" t="n"/>
      <c r="R28" s="353" t="n"/>
      <c r="S28" s="353" t="n"/>
      <c r="T28" s="354" t="n"/>
    </row>
    <row r="29" ht="13.9" customHeight="1">
      <c r="C29" s="388">
        <f>'Multiples &amp; Ratios'!C20</f>
        <v/>
      </c>
      <c r="D29" s="307" t="n"/>
      <c r="E29" s="307" t="n"/>
      <c r="F29" s="307" t="n"/>
      <c r="G29" s="632">
        <f>'Multiples &amp; Ratios'!G20</f>
        <v/>
      </c>
      <c r="H29" s="632">
        <f>'Multiples &amp; Ratios'!H20</f>
        <v/>
      </c>
      <c r="I29" s="632">
        <f>'Multiples &amp; Ratios'!I20</f>
        <v/>
      </c>
      <c r="J29" s="632">
        <f>'Multiples &amp; Ratios'!J20</f>
        <v/>
      </c>
      <c r="K29" s="632">
        <f>'Multiples &amp; Ratios'!K20</f>
        <v/>
      </c>
      <c r="L29" s="632">
        <f>'Multiples &amp; Ratios'!L20</f>
        <v/>
      </c>
      <c r="M29" s="632">
        <f>'Multiples &amp; Ratios'!M20</f>
        <v/>
      </c>
      <c r="N29" s="632">
        <f>'Multiples &amp; Ratios'!N20</f>
        <v/>
      </c>
      <c r="O29" s="632">
        <f>'Multiples &amp; Ratios'!O20</f>
        <v/>
      </c>
      <c r="P29" s="632">
        <f>'Multiples &amp; Ratios'!P20</f>
        <v/>
      </c>
      <c r="Q29" s="632">
        <f>'Multiples &amp; Ratios'!Q20</f>
        <v/>
      </c>
      <c r="R29" s="632">
        <f>'Multiples &amp; Ratios'!R20</f>
        <v/>
      </c>
      <c r="S29" s="632">
        <f>'Multiples &amp; Ratios'!S20</f>
        <v/>
      </c>
      <c r="T29" s="633">
        <f>'Multiples &amp; Ratios'!T20</f>
        <v/>
      </c>
    </row>
    <row r="30" ht="13.9" customHeight="1">
      <c r="C30" s="388">
        <f>'Multiples &amp; Ratios'!C21</f>
        <v/>
      </c>
      <c r="D30" s="307" t="n"/>
      <c r="E30" s="307" t="n"/>
      <c r="F30" s="307" t="n"/>
      <c r="G30" s="632">
        <f>'Multiples &amp; Ratios'!G21</f>
        <v/>
      </c>
      <c r="H30" s="632">
        <f>'Multiples &amp; Ratios'!H21</f>
        <v/>
      </c>
      <c r="I30" s="632">
        <f>'Multiples &amp; Ratios'!I21</f>
        <v/>
      </c>
      <c r="J30" s="632">
        <f>'Multiples &amp; Ratios'!J21</f>
        <v/>
      </c>
      <c r="K30" s="632">
        <f>'Multiples &amp; Ratios'!K21</f>
        <v/>
      </c>
      <c r="L30" s="632">
        <f>'Multiples &amp; Ratios'!L21</f>
        <v/>
      </c>
      <c r="M30" s="632">
        <f>'Multiples &amp; Ratios'!M21</f>
        <v/>
      </c>
      <c r="N30" s="632">
        <f>'Multiples &amp; Ratios'!N21</f>
        <v/>
      </c>
      <c r="O30" s="632">
        <f>'Multiples &amp; Ratios'!O21</f>
        <v/>
      </c>
      <c r="P30" s="632">
        <f>'Multiples &amp; Ratios'!P21</f>
        <v/>
      </c>
      <c r="Q30" s="632">
        <f>'Multiples &amp; Ratios'!Q21</f>
        <v/>
      </c>
      <c r="R30" s="632">
        <f>'Multiples &amp; Ratios'!R21</f>
        <v/>
      </c>
      <c r="S30" s="632">
        <f>'Multiples &amp; Ratios'!S21</f>
        <v/>
      </c>
      <c r="T30" s="633">
        <f>'Multiples &amp; Ratios'!T21</f>
        <v/>
      </c>
    </row>
    <row r="31" ht="13.9" customHeight="1">
      <c r="C31" s="388">
        <f>'Multiples &amp; Ratios'!C22</f>
        <v/>
      </c>
      <c r="D31" s="307" t="n"/>
      <c r="E31" s="307" t="n"/>
      <c r="F31" s="307" t="n"/>
      <c r="G31" s="632">
        <f>'Multiples &amp; Ratios'!G22</f>
        <v/>
      </c>
      <c r="H31" s="632">
        <f>'Multiples &amp; Ratios'!H22</f>
        <v/>
      </c>
      <c r="I31" s="632">
        <f>'Multiples &amp; Ratios'!I22</f>
        <v/>
      </c>
      <c r="J31" s="632">
        <f>'Multiples &amp; Ratios'!J22</f>
        <v/>
      </c>
      <c r="K31" s="632">
        <f>'Multiples &amp; Ratios'!K22</f>
        <v/>
      </c>
      <c r="L31" s="632">
        <f>'Multiples &amp; Ratios'!L22</f>
        <v/>
      </c>
      <c r="M31" s="632">
        <f>'Multiples &amp; Ratios'!M22</f>
        <v/>
      </c>
      <c r="N31" s="632">
        <f>'Multiples &amp; Ratios'!N22</f>
        <v/>
      </c>
      <c r="O31" s="632">
        <f>'Multiples &amp; Ratios'!O22</f>
        <v/>
      </c>
      <c r="P31" s="632">
        <f>'Multiples &amp; Ratios'!P22</f>
        <v/>
      </c>
      <c r="Q31" s="632">
        <f>'Multiples &amp; Ratios'!Q22</f>
        <v/>
      </c>
      <c r="R31" s="632">
        <f>'Multiples &amp; Ratios'!R22</f>
        <v/>
      </c>
      <c r="S31" s="632">
        <f>'Multiples &amp; Ratios'!S22</f>
        <v/>
      </c>
      <c r="T31" s="633">
        <f>'Multiples &amp; Ratios'!T22</f>
        <v/>
      </c>
    </row>
    <row r="32" ht="13.9" customHeight="1">
      <c r="C32" s="356" t="n"/>
      <c r="D32" s="307" t="n"/>
      <c r="E32" s="307" t="n"/>
      <c r="F32" s="307" t="n"/>
      <c r="G32" s="307" t="n"/>
      <c r="H32" s="307" t="n"/>
      <c r="I32" s="307" t="n"/>
      <c r="J32" s="307" t="n"/>
      <c r="K32" s="307" t="n"/>
      <c r="L32" s="307" t="n"/>
      <c r="M32" s="307" t="n"/>
      <c r="N32" s="307" t="n"/>
      <c r="O32" s="307" t="n"/>
      <c r="P32" s="307" t="n"/>
      <c r="Q32" s="307" t="n"/>
      <c r="R32" s="307" t="n"/>
      <c r="S32" s="307" t="n"/>
      <c r="T32" s="355" t="n"/>
    </row>
    <row r="33" ht="13.9" customHeight="1">
      <c r="C33" s="358" t="inlineStr">
        <is>
          <t>Efficiency Ratios</t>
        </is>
      </c>
      <c r="D33" s="307" t="n"/>
      <c r="E33" s="307" t="n"/>
      <c r="F33" s="307" t="n"/>
      <c r="G33" s="307" t="n"/>
      <c r="H33" s="307" t="n"/>
      <c r="I33" s="307" t="n"/>
      <c r="J33" s="307" t="n"/>
      <c r="K33" s="307" t="n"/>
      <c r="L33" s="307" t="n"/>
      <c r="M33" s="307" t="n"/>
      <c r="N33" s="307" t="n"/>
      <c r="O33" s="307" t="n"/>
      <c r="P33" s="307" t="n"/>
      <c r="Q33" s="307" t="n"/>
      <c r="R33" s="307" t="n"/>
      <c r="S33" s="307" t="n"/>
      <c r="T33" s="355" t="n"/>
    </row>
    <row r="34" ht="13.9" customHeight="1">
      <c r="C34" s="388">
        <f>'Multiples &amp; Ratios'!C25</f>
        <v/>
      </c>
      <c r="D34" s="307" t="n"/>
      <c r="E34" s="307" t="n"/>
      <c r="F34" s="307" t="n"/>
      <c r="G34" s="311">
        <f>'Multiples &amp; Ratios'!G25</f>
        <v/>
      </c>
      <c r="H34" s="311">
        <f>'Multiples &amp; Ratios'!H25</f>
        <v/>
      </c>
      <c r="I34" s="311">
        <f>'Multiples &amp; Ratios'!I25</f>
        <v/>
      </c>
      <c r="J34" s="311">
        <f>'Multiples &amp; Ratios'!J25</f>
        <v/>
      </c>
      <c r="K34" s="407">
        <f>'Multiples &amp; Ratios'!K25</f>
        <v/>
      </c>
      <c r="L34" s="311">
        <f>'Multiples &amp; Ratios'!L25</f>
        <v/>
      </c>
      <c r="M34" s="311">
        <f>'Multiples &amp; Ratios'!M25</f>
        <v/>
      </c>
      <c r="N34" s="311">
        <f>'Multiples &amp; Ratios'!N25</f>
        <v/>
      </c>
      <c r="O34" s="311">
        <f>'Multiples &amp; Ratios'!O25</f>
        <v/>
      </c>
      <c r="P34" s="311">
        <f>'Multiples &amp; Ratios'!P25</f>
        <v/>
      </c>
      <c r="Q34" s="311">
        <f>'Multiples &amp; Ratios'!Q25</f>
        <v/>
      </c>
      <c r="R34" s="311">
        <f>'Multiples &amp; Ratios'!R25</f>
        <v/>
      </c>
      <c r="S34" s="311">
        <f>'Multiples &amp; Ratios'!S25</f>
        <v/>
      </c>
      <c r="T34" s="396">
        <f>'Multiples &amp; Ratios'!T25</f>
        <v/>
      </c>
    </row>
    <row r="35" ht="13.9" customHeight="1">
      <c r="C35" s="388">
        <f>'Multiples &amp; Ratios'!C26</f>
        <v/>
      </c>
      <c r="D35" s="307" t="n"/>
      <c r="E35" s="307" t="n"/>
      <c r="F35" s="307" t="n"/>
      <c r="G35" s="311">
        <f>'Multiples &amp; Ratios'!G26</f>
        <v/>
      </c>
      <c r="H35" s="311">
        <f>'Multiples &amp; Ratios'!H26</f>
        <v/>
      </c>
      <c r="I35" s="311">
        <f>'Multiples &amp; Ratios'!I26</f>
        <v/>
      </c>
      <c r="J35" s="311">
        <f>'Multiples &amp; Ratios'!J26</f>
        <v/>
      </c>
      <c r="K35" s="407">
        <f>'Multiples &amp; Ratios'!K26</f>
        <v/>
      </c>
      <c r="L35" s="311">
        <f>'Multiples &amp; Ratios'!L26</f>
        <v/>
      </c>
      <c r="M35" s="311">
        <f>'Multiples &amp; Ratios'!M26</f>
        <v/>
      </c>
      <c r="N35" s="311">
        <f>'Multiples &amp; Ratios'!N26</f>
        <v/>
      </c>
      <c r="O35" s="311">
        <f>'Multiples &amp; Ratios'!O26</f>
        <v/>
      </c>
      <c r="P35" s="311">
        <f>'Multiples &amp; Ratios'!P26</f>
        <v/>
      </c>
      <c r="Q35" s="311">
        <f>'Multiples &amp; Ratios'!Q26</f>
        <v/>
      </c>
      <c r="R35" s="311">
        <f>'Multiples &amp; Ratios'!R26</f>
        <v/>
      </c>
      <c r="S35" s="311">
        <f>'Multiples &amp; Ratios'!S26</f>
        <v/>
      </c>
      <c r="T35" s="396">
        <f>'Multiples &amp; Ratios'!T26</f>
        <v/>
      </c>
    </row>
    <row r="36" ht="13.9" customHeight="1">
      <c r="C36" s="388">
        <f>'Multiples &amp; Ratios'!C27</f>
        <v/>
      </c>
      <c r="D36" s="307" t="n"/>
      <c r="E36" s="307" t="n"/>
      <c r="F36" s="307" t="n"/>
      <c r="G36" s="311">
        <f>'Multiples &amp; Ratios'!G27</f>
        <v/>
      </c>
      <c r="H36" s="311">
        <f>'Multiples &amp; Ratios'!H27</f>
        <v/>
      </c>
      <c r="I36" s="311">
        <f>'Multiples &amp; Ratios'!I27</f>
        <v/>
      </c>
      <c r="J36" s="311">
        <f>'Multiples &amp; Ratios'!J27</f>
        <v/>
      </c>
      <c r="K36" s="407">
        <f>'Multiples &amp; Ratios'!K27</f>
        <v/>
      </c>
      <c r="L36" s="311">
        <f>'Multiples &amp; Ratios'!L27</f>
        <v/>
      </c>
      <c r="M36" s="311">
        <f>'Multiples &amp; Ratios'!M27</f>
        <v/>
      </c>
      <c r="N36" s="311">
        <f>'Multiples &amp; Ratios'!N27</f>
        <v/>
      </c>
      <c r="O36" s="311">
        <f>'Multiples &amp; Ratios'!O27</f>
        <v/>
      </c>
      <c r="P36" s="311">
        <f>'Multiples &amp; Ratios'!P27</f>
        <v/>
      </c>
      <c r="Q36" s="311">
        <f>'Multiples &amp; Ratios'!Q27</f>
        <v/>
      </c>
      <c r="R36" s="311">
        <f>'Multiples &amp; Ratios'!R27</f>
        <v/>
      </c>
      <c r="S36" s="311">
        <f>'Multiples &amp; Ratios'!S27</f>
        <v/>
      </c>
      <c r="T36" s="396">
        <f>'Multiples &amp; Ratios'!T27</f>
        <v/>
      </c>
    </row>
    <row r="37" ht="13.9" customHeight="1">
      <c r="C37" s="388">
        <f>'Multiples &amp; Ratios'!C28</f>
        <v/>
      </c>
      <c r="D37" s="307" t="n"/>
      <c r="E37" s="307" t="n"/>
      <c r="F37" s="307" t="n"/>
      <c r="G37" s="408">
        <f>'Multiples &amp; Ratios'!G28</f>
        <v/>
      </c>
      <c r="H37" s="408">
        <f>'Multiples &amp; Ratios'!H28</f>
        <v/>
      </c>
      <c r="I37" s="408">
        <f>'Multiples &amp; Ratios'!I28</f>
        <v/>
      </c>
      <c r="J37" s="408">
        <f>'Multiples &amp; Ratios'!J28</f>
        <v/>
      </c>
      <c r="K37" s="409">
        <f>'Multiples &amp; Ratios'!K28</f>
        <v/>
      </c>
      <c r="L37" s="408">
        <f>'Multiples &amp; Ratios'!L28</f>
        <v/>
      </c>
      <c r="M37" s="408">
        <f>'Multiples &amp; Ratios'!M28</f>
        <v/>
      </c>
      <c r="N37" s="408">
        <f>'Multiples &amp; Ratios'!N28</f>
        <v/>
      </c>
      <c r="O37" s="408">
        <f>'Multiples &amp; Ratios'!O28</f>
        <v/>
      </c>
      <c r="P37" s="408">
        <f>'Multiples &amp; Ratios'!P28</f>
        <v/>
      </c>
      <c r="Q37" s="408">
        <f>'Multiples &amp; Ratios'!Q28</f>
        <v/>
      </c>
      <c r="R37" s="408">
        <f>'Multiples &amp; Ratios'!R28</f>
        <v/>
      </c>
      <c r="S37" s="408">
        <f>'Multiples &amp; Ratios'!S28</f>
        <v/>
      </c>
      <c r="T37" s="410">
        <f>'Multiples &amp; Ratios'!T28</f>
        <v/>
      </c>
    </row>
    <row r="38" ht="13.9" customHeight="1">
      <c r="C38" s="356" t="n"/>
      <c r="D38" s="307" t="n"/>
      <c r="E38" s="307" t="n"/>
      <c r="F38" s="307" t="n"/>
      <c r="G38" s="307" t="n"/>
      <c r="H38" s="307" t="n"/>
      <c r="I38" s="307" t="n"/>
      <c r="J38" s="307" t="n"/>
      <c r="K38" s="307" t="n"/>
      <c r="L38" s="307" t="n"/>
      <c r="M38" s="307" t="n"/>
      <c r="N38" s="307" t="n"/>
      <c r="O38" s="307" t="n"/>
      <c r="P38" s="307" t="n"/>
      <c r="Q38" s="307" t="n"/>
      <c r="R38" s="307" t="n"/>
      <c r="S38" s="307" t="n"/>
      <c r="T38" s="355" t="n"/>
    </row>
    <row r="39" ht="13.9" customHeight="1">
      <c r="C39" s="358" t="inlineStr">
        <is>
          <t>Valuation Multiples</t>
        </is>
      </c>
      <c r="D39" s="307" t="n"/>
      <c r="E39" s="307" t="n"/>
      <c r="F39" s="307" t="n"/>
      <c r="G39" s="307" t="n"/>
      <c r="H39" s="307" t="n"/>
      <c r="I39" s="307" t="n"/>
      <c r="J39" s="307" t="n"/>
      <c r="K39" s="307" t="n"/>
      <c r="L39" s="307" t="n"/>
      <c r="M39" s="307" t="n"/>
      <c r="N39" s="307" t="n"/>
      <c r="O39" s="307" t="n"/>
      <c r="P39" s="307" t="n"/>
      <c r="Q39" s="307" t="n"/>
      <c r="R39" s="307" t="n"/>
      <c r="S39" s="307" t="n"/>
      <c r="T39" s="355" t="n"/>
    </row>
    <row r="40" ht="13.9" customHeight="1">
      <c r="C40" s="388">
        <f>'Multiples &amp; Ratios'!C8</f>
        <v/>
      </c>
      <c r="D40" s="15" t="n"/>
      <c r="E40" s="15" t="n"/>
      <c r="F40" s="15" t="n"/>
      <c r="G40" s="634">
        <f>'Multiples &amp; Ratios'!G8</f>
        <v/>
      </c>
      <c r="H40" s="634">
        <f>'Multiples &amp; Ratios'!H8</f>
        <v/>
      </c>
      <c r="I40" s="634">
        <f>'Multiples &amp; Ratios'!I8</f>
        <v/>
      </c>
      <c r="J40" s="634">
        <f>'Multiples &amp; Ratios'!J8</f>
        <v/>
      </c>
      <c r="K40" s="634">
        <f>'Multiples &amp; Ratios'!K8</f>
        <v/>
      </c>
      <c r="L40" s="634">
        <f>'Multiples &amp; Ratios'!L8</f>
        <v/>
      </c>
      <c r="M40" s="634">
        <f>'Multiples &amp; Ratios'!M8</f>
        <v/>
      </c>
      <c r="N40" s="634">
        <f>'Multiples &amp; Ratios'!N8</f>
        <v/>
      </c>
      <c r="O40" s="634">
        <f>'Multiples &amp; Ratios'!O8</f>
        <v/>
      </c>
      <c r="P40" s="634">
        <f>'Multiples &amp; Ratios'!P8</f>
        <v/>
      </c>
      <c r="Q40" s="634">
        <f>'Multiples &amp; Ratios'!Q8</f>
        <v/>
      </c>
      <c r="R40" s="634">
        <f>'Multiples &amp; Ratios'!R8</f>
        <v/>
      </c>
      <c r="S40" s="634">
        <f>'Multiples &amp; Ratios'!S8</f>
        <v/>
      </c>
      <c r="T40" s="635">
        <f>'Multiples &amp; Ratios'!T8</f>
        <v/>
      </c>
    </row>
    <row r="41" ht="13.9" customHeight="1">
      <c r="C41" s="388">
        <f>'Multiples &amp; Ratios'!C9</f>
        <v/>
      </c>
      <c r="D41" s="15" t="n"/>
      <c r="E41" s="15" t="n"/>
      <c r="F41" s="15" t="n"/>
      <c r="G41" s="634">
        <f>'Multiples &amp; Ratios'!G9</f>
        <v/>
      </c>
      <c r="H41" s="634">
        <f>'Multiples &amp; Ratios'!H9</f>
        <v/>
      </c>
      <c r="I41" s="634">
        <f>'Multiples &amp; Ratios'!I9</f>
        <v/>
      </c>
      <c r="J41" s="634">
        <f>'Multiples &amp; Ratios'!J9</f>
        <v/>
      </c>
      <c r="K41" s="634">
        <f>'Multiples &amp; Ratios'!K9</f>
        <v/>
      </c>
      <c r="L41" s="634">
        <f>'Multiples &amp; Ratios'!L9</f>
        <v/>
      </c>
      <c r="M41" s="634">
        <f>'Multiples &amp; Ratios'!M9</f>
        <v/>
      </c>
      <c r="N41" s="634">
        <f>'Multiples &amp; Ratios'!N9</f>
        <v/>
      </c>
      <c r="O41" s="634">
        <f>'Multiples &amp; Ratios'!O9</f>
        <v/>
      </c>
      <c r="P41" s="634">
        <f>'Multiples &amp; Ratios'!P9</f>
        <v/>
      </c>
      <c r="Q41" s="634">
        <f>'Multiples &amp; Ratios'!Q9</f>
        <v/>
      </c>
      <c r="R41" s="634">
        <f>'Multiples &amp; Ratios'!R9</f>
        <v/>
      </c>
      <c r="S41" s="634">
        <f>'Multiples &amp; Ratios'!S9</f>
        <v/>
      </c>
      <c r="T41" s="635">
        <f>'Multiples &amp; Ratios'!T9</f>
        <v/>
      </c>
    </row>
    <row r="42" ht="13.9" customHeight="1">
      <c r="C42" s="388">
        <f>'Multiples &amp; Ratios'!C10</f>
        <v/>
      </c>
      <c r="D42" s="15" t="n"/>
      <c r="E42" s="15" t="n"/>
      <c r="F42" s="15" t="n"/>
      <c r="G42" s="634">
        <f>'Multiples &amp; Ratios'!G10</f>
        <v/>
      </c>
      <c r="H42" s="634">
        <f>'Multiples &amp; Ratios'!H10</f>
        <v/>
      </c>
      <c r="I42" s="634">
        <f>'Multiples &amp; Ratios'!I10</f>
        <v/>
      </c>
      <c r="J42" s="634">
        <f>'Multiples &amp; Ratios'!J10</f>
        <v/>
      </c>
      <c r="K42" s="634">
        <f>'Multiples &amp; Ratios'!K10</f>
        <v/>
      </c>
      <c r="L42" s="634">
        <f>'Multiples &amp; Ratios'!L10</f>
        <v/>
      </c>
      <c r="M42" s="634">
        <f>'Multiples &amp; Ratios'!M10</f>
        <v/>
      </c>
      <c r="N42" s="634">
        <f>'Multiples &amp; Ratios'!N10</f>
        <v/>
      </c>
      <c r="O42" s="634">
        <f>'Multiples &amp; Ratios'!O10</f>
        <v/>
      </c>
      <c r="P42" s="634">
        <f>'Multiples &amp; Ratios'!P10</f>
        <v/>
      </c>
      <c r="Q42" s="634">
        <f>'Multiples &amp; Ratios'!Q10</f>
        <v/>
      </c>
      <c r="R42" s="634">
        <f>'Multiples &amp; Ratios'!R10</f>
        <v/>
      </c>
      <c r="S42" s="634">
        <f>'Multiples &amp; Ratios'!S10</f>
        <v/>
      </c>
      <c r="T42" s="635">
        <f>'Multiples &amp; Ratios'!T10</f>
        <v/>
      </c>
    </row>
    <row r="43" ht="13.9" customHeight="1">
      <c r="C43" s="392">
        <f>'Multiples &amp; Ratios'!C11</f>
        <v/>
      </c>
      <c r="D43" s="393" t="n"/>
      <c r="E43" s="393" t="n"/>
      <c r="F43" s="393" t="n"/>
      <c r="G43" s="636">
        <f>'Multiples &amp; Ratios'!G11</f>
        <v/>
      </c>
      <c r="H43" s="636">
        <f>'Multiples &amp; Ratios'!H11</f>
        <v/>
      </c>
      <c r="I43" s="636">
        <f>'Multiples &amp; Ratios'!I11</f>
        <v/>
      </c>
      <c r="J43" s="636">
        <f>'Multiples &amp; Ratios'!J11</f>
        <v/>
      </c>
      <c r="K43" s="636">
        <f>'Multiples &amp; Ratios'!K11</f>
        <v/>
      </c>
      <c r="L43" s="636">
        <f>'Multiples &amp; Ratios'!L11</f>
        <v/>
      </c>
      <c r="M43" s="636">
        <f>'Multiples &amp; Ratios'!M11</f>
        <v/>
      </c>
      <c r="N43" s="636">
        <f>'Multiples &amp; Ratios'!N11</f>
        <v/>
      </c>
      <c r="O43" s="636">
        <f>'Multiples &amp; Ratios'!O11</f>
        <v/>
      </c>
      <c r="P43" s="636">
        <f>'Multiples &amp; Ratios'!P11</f>
        <v/>
      </c>
      <c r="Q43" s="636">
        <f>'Multiples &amp; Ratios'!Q11</f>
        <v/>
      </c>
      <c r="R43" s="636">
        <f>'Multiples &amp; Ratios'!R11</f>
        <v/>
      </c>
      <c r="S43" s="636">
        <f>'Multiples &amp; Ratios'!S11</f>
        <v/>
      </c>
      <c r="T43" s="637">
        <f>'Multiples &amp; Ratios'!T11</f>
        <v/>
      </c>
    </row>
    <row r="44" ht="10.05" customHeight="1"/>
    <row r="49" hidden="1" ht="30" customHeight="1"/>
    <row r="50" hidden="1" ht="5.2" customHeight="1"/>
  </sheetData>
  <pageMargins left="0.7" right="0.7" top="0.75" bottom="0.75" header="0.3" footer="0.3"/>
  <pageSetup orientation="portrait" scale="48"/>
</worksheet>
</file>

<file path=xl/worksheets/sheet7.xml><?xml version="1.0" encoding="utf-8"?>
<worksheet xmlns="http://schemas.openxmlformats.org/spreadsheetml/2006/main">
  <sheetPr>
    <tabColor theme="7" tint="0.7999816888943144"/>
    <outlinePr summaryBelow="1" summaryRight="1"/>
    <pageSetUpPr/>
  </sheetPr>
  <dimension ref="L33:U48"/>
  <sheetViews>
    <sheetView showGridLines="0" view="pageBreakPreview" zoomScale="55" zoomScaleNormal="85" zoomScaleSheetLayoutView="55" workbookViewId="0">
      <selection activeCell="A1" sqref="A1"/>
    </sheetView>
  </sheetViews>
  <sheetFormatPr baseColWidth="8" defaultRowHeight="12.75"/>
  <cols>
    <col width="1.59765625" customWidth="1" min="1" max="2"/>
    <col width="15.73046875" customWidth="1" min="3" max="9"/>
    <col width="1.59765625" customWidth="1" min="10" max="11"/>
    <col width="5.73046875" customWidth="1" min="14" max="14"/>
    <col width="14.265625" bestFit="1" customWidth="1" min="15" max="17"/>
    <col width="14.265625" customWidth="1" min="18" max="18"/>
    <col width="14.265625" bestFit="1" customWidth="1" min="19" max="21"/>
    <col width="1.59765625" customWidth="1" min="22" max="22"/>
  </cols>
  <sheetData>
    <row r="1" ht="10.05" customHeight="1"/>
    <row r="2" ht="10.05" customHeight="1"/>
    <row r="30" ht="10.05" customHeight="1"/>
    <row r="32" ht="10.05" customHeight="1" thickBot="1"/>
    <row r="33" ht="20.2" customHeight="1" thickBot="1">
      <c r="L33" s="150" t="n"/>
      <c r="M33" s="151" t="n"/>
      <c r="N33" s="151" t="n"/>
      <c r="O33" s="151">
        <f>Summary!G5</f>
        <v/>
      </c>
      <c r="P33" s="151">
        <f>Summary!H5</f>
        <v/>
      </c>
      <c r="Q33" s="151">
        <f>Summary!I5</f>
        <v/>
      </c>
      <c r="R33" s="638">
        <f>Summary!J5</f>
        <v/>
      </c>
      <c r="S33" s="152">
        <f>Summary!K5</f>
        <v/>
      </c>
      <c r="T33" s="151">
        <f>Summary!L5</f>
        <v/>
      </c>
      <c r="U33" s="153">
        <f>Summary!M5</f>
        <v/>
      </c>
    </row>
    <row r="34" ht="5.2" customHeight="1">
      <c r="L34" s="6" t="n"/>
      <c r="M34" s="6" t="n"/>
      <c r="N34" s="6" t="n"/>
      <c r="O34" s="6" t="n"/>
      <c r="P34" s="6" t="n"/>
      <c r="Q34" s="6" t="n"/>
      <c r="R34" s="6" t="n"/>
      <c r="S34" s="154" t="n"/>
      <c r="T34" s="6" t="n"/>
      <c r="U34" s="6" t="n"/>
    </row>
    <row r="35" ht="15" customHeight="1">
      <c r="L35" s="155" t="inlineStr">
        <is>
          <t>Revenue Growth</t>
        </is>
      </c>
      <c r="M35" s="155" t="n"/>
      <c r="N35" s="155" t="n"/>
      <c r="O35" s="156">
        <f>Summary!G8</f>
        <v/>
      </c>
      <c r="P35" s="156">
        <f>Summary!H8</f>
        <v/>
      </c>
      <c r="Q35" s="156">
        <f>Summary!I8</f>
        <v/>
      </c>
      <c r="R35" s="156">
        <f>Summary!J8</f>
        <v/>
      </c>
      <c r="S35" s="157">
        <f>Summary!K8</f>
        <v/>
      </c>
      <c r="T35" s="156">
        <f>Summary!L8</f>
        <v/>
      </c>
      <c r="U35" s="156">
        <f>Summary!M8</f>
        <v/>
      </c>
    </row>
    <row r="36" ht="15" customHeight="1">
      <c r="L36" s="158" t="inlineStr">
        <is>
          <t>Gross Margin</t>
        </is>
      </c>
      <c r="M36" s="158" t="n"/>
      <c r="N36" s="158" t="n"/>
      <c r="O36" s="159">
        <f>Summary!G11</f>
        <v/>
      </c>
      <c r="P36" s="159">
        <f>Summary!H11</f>
        <v/>
      </c>
      <c r="Q36" s="159">
        <f>Summary!I11</f>
        <v/>
      </c>
      <c r="R36" s="159">
        <f>Summary!J11</f>
        <v/>
      </c>
      <c r="S36" s="160">
        <f>Summary!K11</f>
        <v/>
      </c>
      <c r="T36" s="159">
        <f>Summary!L11</f>
        <v/>
      </c>
      <c r="U36" s="159">
        <f>Summary!M11</f>
        <v/>
      </c>
    </row>
    <row r="37" ht="15" customHeight="1">
      <c r="L37" s="158" t="inlineStr">
        <is>
          <t>Opex (% of Revenue)</t>
        </is>
      </c>
      <c r="M37" s="158" t="n"/>
      <c r="N37" s="158" t="n"/>
      <c r="O37" s="159">
        <f>Summary!G14</f>
        <v/>
      </c>
      <c r="P37" s="159">
        <f>Summary!H14</f>
        <v/>
      </c>
      <c r="Q37" s="159">
        <f>Summary!I14</f>
        <v/>
      </c>
      <c r="R37" s="159">
        <f>Summary!J14</f>
        <v/>
      </c>
      <c r="S37" s="160">
        <f>Summary!K14</f>
        <v/>
      </c>
      <c r="T37" s="159">
        <f>Summary!L14</f>
        <v/>
      </c>
      <c r="U37" s="159">
        <f>Summary!M14</f>
        <v/>
      </c>
    </row>
    <row r="38" ht="15" customHeight="1">
      <c r="L38" s="158" t="inlineStr">
        <is>
          <t>FCF Margin</t>
        </is>
      </c>
      <c r="M38" s="158" t="n"/>
      <c r="N38" s="158" t="n"/>
      <c r="O38" s="159">
        <f>Summary!G25</f>
        <v/>
      </c>
      <c r="P38" s="159">
        <f>Summary!H25</f>
        <v/>
      </c>
      <c r="Q38" s="159">
        <f>Summary!I25</f>
        <v/>
      </c>
      <c r="R38" s="159">
        <f>Summary!J25</f>
        <v/>
      </c>
      <c r="S38" s="160">
        <f>Summary!K25</f>
        <v/>
      </c>
      <c r="T38" s="159">
        <f>Summary!L25</f>
        <v/>
      </c>
      <c r="U38" s="159">
        <f>Summary!M25</f>
        <v/>
      </c>
    </row>
    <row r="39" ht="15" customHeight="1">
      <c r="L39" s="158" t="inlineStr">
        <is>
          <t>FCF Growth</t>
        </is>
      </c>
      <c r="M39" s="158" t="n"/>
      <c r="N39" s="158" t="n"/>
      <c r="O39" s="156">
        <f>Summary!G26</f>
        <v/>
      </c>
      <c r="P39" s="159">
        <f>Summary!H26</f>
        <v/>
      </c>
      <c r="Q39" s="159">
        <f>Summary!I26</f>
        <v/>
      </c>
      <c r="R39" s="159">
        <f>Summary!J26</f>
        <v/>
      </c>
      <c r="S39" s="160">
        <f>Summary!K26</f>
        <v/>
      </c>
      <c r="T39" s="159">
        <f>Summary!L26</f>
        <v/>
      </c>
      <c r="U39" s="159">
        <f>Summary!M26</f>
        <v/>
      </c>
    </row>
    <row r="40" ht="5.2" customHeight="1">
      <c r="L40" s="6" t="n"/>
      <c r="M40" s="6" t="n"/>
      <c r="N40" s="6" t="n"/>
      <c r="O40" s="14" t="n"/>
      <c r="P40" s="14" t="n"/>
      <c r="Q40" s="14" t="n"/>
      <c r="R40" s="14" t="n"/>
      <c r="S40" s="161" t="n"/>
      <c r="T40" s="14" t="n"/>
      <c r="U40" s="14" t="n"/>
    </row>
    <row r="41" ht="15" customHeight="1">
      <c r="L41" s="6">
        <f>Summary!C29</f>
        <v/>
      </c>
      <c r="M41" s="6" t="n"/>
      <c r="N41" s="6" t="n"/>
      <c r="O41" s="162">
        <f>Summary!G29</f>
        <v/>
      </c>
      <c r="P41" s="162">
        <f>Summary!H29</f>
        <v/>
      </c>
      <c r="Q41" s="162">
        <f>Summary!I29</f>
        <v/>
      </c>
      <c r="R41" s="162">
        <f>Summary!J29</f>
        <v/>
      </c>
      <c r="S41" s="163">
        <f>Summary!K29</f>
        <v/>
      </c>
      <c r="T41" s="162">
        <f>Summary!L29</f>
        <v/>
      </c>
      <c r="U41" s="162">
        <f>Summary!M29</f>
        <v/>
      </c>
    </row>
    <row r="42" ht="15" customHeight="1">
      <c r="L42" s="158">
        <f>Summary!C30</f>
        <v/>
      </c>
      <c r="M42" s="158" t="n"/>
      <c r="N42" s="158" t="n"/>
      <c r="O42" s="164">
        <f>Summary!G30</f>
        <v/>
      </c>
      <c r="P42" s="164">
        <f>Summary!H30</f>
        <v/>
      </c>
      <c r="Q42" s="164">
        <f>Summary!I30</f>
        <v/>
      </c>
      <c r="R42" s="164">
        <f>Summary!J30</f>
        <v/>
      </c>
      <c r="S42" s="165">
        <f>Summary!K30</f>
        <v/>
      </c>
      <c r="T42" s="164">
        <f>Summary!L30</f>
        <v/>
      </c>
      <c r="U42" s="164">
        <f>Summary!M30</f>
        <v/>
      </c>
    </row>
    <row r="43" ht="15" customHeight="1">
      <c r="L43" s="158">
        <f>Summary!C31</f>
        <v/>
      </c>
      <c r="M43" s="158" t="n"/>
      <c r="N43" s="158" t="n"/>
      <c r="O43" s="164">
        <f>Summary!G31</f>
        <v/>
      </c>
      <c r="P43" s="164">
        <f>Summary!H31</f>
        <v/>
      </c>
      <c r="Q43" s="164">
        <f>Summary!I31</f>
        <v/>
      </c>
      <c r="R43" s="164">
        <f>Summary!J31</f>
        <v/>
      </c>
      <c r="S43" s="165">
        <f>Summary!K31</f>
        <v/>
      </c>
      <c r="T43" s="164">
        <f>Summary!L31</f>
        <v/>
      </c>
      <c r="U43" s="164">
        <f>Summary!M31</f>
        <v/>
      </c>
    </row>
    <row r="44" ht="5.2" customHeight="1">
      <c r="O44" s="166" t="n"/>
      <c r="P44" s="166" t="n"/>
      <c r="Q44" s="166" t="n"/>
      <c r="R44" s="166" t="n"/>
      <c r="S44" s="167" t="n"/>
      <c r="T44" s="166" t="n"/>
      <c r="U44" s="166" t="n"/>
    </row>
    <row r="45" ht="15" customHeight="1">
      <c r="L45" s="6" t="inlineStr">
        <is>
          <t>ROE</t>
        </is>
      </c>
      <c r="M45" s="6" t="n"/>
      <c r="N45" s="6" t="n"/>
      <c r="O45" s="639">
        <f>Summary!G34</f>
        <v/>
      </c>
      <c r="P45" s="639">
        <f>Summary!H34</f>
        <v/>
      </c>
      <c r="Q45" s="639">
        <f>Summary!I34</f>
        <v/>
      </c>
      <c r="R45" s="639">
        <f>Summary!J34</f>
        <v/>
      </c>
      <c r="S45" s="640">
        <f>Summary!K34</f>
        <v/>
      </c>
      <c r="T45" s="639">
        <f>Summary!L34</f>
        <v/>
      </c>
      <c r="U45" s="639">
        <f>Summary!M34</f>
        <v/>
      </c>
    </row>
    <row r="46" ht="15" customHeight="1">
      <c r="L46" s="158" t="inlineStr">
        <is>
          <t>ROA</t>
        </is>
      </c>
      <c r="M46" s="158" t="n"/>
      <c r="N46" s="158" t="n"/>
      <c r="O46" s="641">
        <f>Summary!G35</f>
        <v/>
      </c>
      <c r="P46" s="641">
        <f>Summary!H35</f>
        <v/>
      </c>
      <c r="Q46" s="641">
        <f>Summary!I35</f>
        <v/>
      </c>
      <c r="R46" s="641">
        <f>Summary!J35</f>
        <v/>
      </c>
      <c r="S46" s="642">
        <f>Summary!K35</f>
        <v/>
      </c>
      <c r="T46" s="641">
        <f>Summary!L35</f>
        <v/>
      </c>
      <c r="U46" s="641">
        <f>Summary!M35</f>
        <v/>
      </c>
    </row>
    <row r="47" ht="15" customHeight="1">
      <c r="L47" s="158" t="inlineStr">
        <is>
          <t>ROIC</t>
        </is>
      </c>
      <c r="M47" s="158" t="n"/>
      <c r="N47" s="158" t="n"/>
      <c r="O47" s="641">
        <f>Summary!G36</f>
        <v/>
      </c>
      <c r="P47" s="641">
        <f>Summary!H36</f>
        <v/>
      </c>
      <c r="Q47" s="641">
        <f>Summary!I36</f>
        <v/>
      </c>
      <c r="R47" s="641">
        <f>Summary!J36</f>
        <v/>
      </c>
      <c r="S47" s="642">
        <f>Summary!K36</f>
        <v/>
      </c>
      <c r="T47" s="641">
        <f>Summary!L36</f>
        <v/>
      </c>
      <c r="U47" s="641">
        <f>Summary!M36</f>
        <v/>
      </c>
    </row>
    <row r="48" ht="15" customHeight="1">
      <c r="L48" s="158" t="inlineStr">
        <is>
          <t>EPS</t>
        </is>
      </c>
      <c r="M48" s="158" t="n"/>
      <c r="N48" s="158" t="n"/>
      <c r="O48" s="643">
        <f>Summary!G37</f>
        <v/>
      </c>
      <c r="P48" s="643">
        <f>Summary!H37</f>
        <v/>
      </c>
      <c r="Q48" s="643">
        <f>Summary!I37</f>
        <v/>
      </c>
      <c r="R48" s="643">
        <f>Summary!J37</f>
        <v/>
      </c>
      <c r="S48" s="644">
        <f>Summary!K37</f>
        <v/>
      </c>
      <c r="T48" s="643">
        <f>Summary!L37</f>
        <v/>
      </c>
      <c r="U48" s="643">
        <f>Summary!M37</f>
        <v/>
      </c>
    </row>
    <row r="49" ht="10.05" customHeight="1"/>
  </sheetData>
  <pageMargins left="0.7" right="0.7" top="0.75" bottom="0.75" header="0.3" footer="0.3"/>
  <pageSetup orientation="portrait" scale="60" horizontalDpi="300" verticalDpi="300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16395B"/>
    <outlinePr summaryBelow="1" summaryRight="1"/>
    <pageSetUpPr/>
  </sheetPr>
  <dimension ref="A1:A1"/>
  <sheetViews>
    <sheetView view="pageBreakPreview" zoomScale="70" zoomScaleNormal="100" zoomScaleSheetLayoutView="70" workbookViewId="0">
      <selection activeCell="A1" sqref="A1"/>
    </sheetView>
  </sheetViews>
  <sheetFormatPr baseColWidth="8" defaultRowHeight="12.75"/>
  <sheetData/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tabColor rgb="FF0000FF"/>
    <outlinePr summaryBelow="1" summaryRight="1"/>
    <pageSetUpPr/>
  </sheetPr>
  <dimension ref="A1:M126"/>
  <sheetViews>
    <sheetView showGridLines="0" tabSelected="1" view="pageBreakPreview" zoomScale="70" zoomScaleNormal="100" zoomScaleSheetLayoutView="70" workbookViewId="0">
      <pane xSplit="6" ySplit="5" topLeftCell="G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0" defaultRowHeight="10.15" zeroHeight="1" outlineLevelRow="1"/>
  <cols>
    <col width="1.59765625" customWidth="1" style="79" min="1" max="2"/>
    <col width="9.19921875" customWidth="1" style="80" min="3" max="6"/>
    <col width="14.796875" customWidth="1" style="80" min="7" max="10"/>
    <col width="1.59765625" customWidth="1" style="80" min="11" max="11"/>
    <col width="9.19921875" customWidth="1" style="80" min="12" max="12"/>
    <col hidden="1" width="13" customWidth="1" style="80" min="13" max="13"/>
    <col hidden="1" width="9.19921875" customWidth="1" style="80" min="14" max="16384"/>
  </cols>
  <sheetData>
    <row r="1">
      <c r="G1" s="81">
        <f>Assumptions!$G$6</f>
        <v/>
      </c>
      <c r="H1" s="79">
        <f>+G1+1</f>
        <v/>
      </c>
      <c r="I1" s="79">
        <f>+H1+1</f>
        <v/>
      </c>
      <c r="J1" s="82">
        <f>Assumptions!G7</f>
        <v/>
      </c>
      <c r="M1" s="645" t="inlineStr">
        <is>
          <t>X</t>
        </is>
      </c>
    </row>
    <row r="2" ht="10.05" customHeight="1" thickBot="1">
      <c r="M2" s="645" t="inlineStr">
        <is>
          <t>X</t>
        </is>
      </c>
    </row>
    <row r="3" ht="14.55" customHeight="1">
      <c r="C3" s="84">
        <f>Assumptions!G5&amp;" - Financial Inputs Tab"</f>
        <v/>
      </c>
      <c r="D3" s="85" t="n"/>
      <c r="E3" s="85" t="n"/>
      <c r="F3" s="85" t="n"/>
      <c r="G3" s="85" t="n"/>
      <c r="H3" s="85" t="n"/>
      <c r="I3" s="85" t="n"/>
      <c r="J3" s="86" t="n"/>
      <c r="M3" s="645" t="inlineStr">
        <is>
          <t>X</t>
        </is>
      </c>
    </row>
    <row r="4" ht="14.55" customHeight="1">
      <c r="C4" s="87" t="n"/>
      <c r="D4" s="54" t="n"/>
      <c r="E4" s="54" t="n"/>
      <c r="F4" s="54" t="n"/>
      <c r="G4" s="54" t="n"/>
      <c r="H4" s="54" t="n"/>
      <c r="I4" s="54" t="n"/>
      <c r="J4" s="55" t="inlineStr">
        <is>
          <t>FY26A / LTM</t>
        </is>
      </c>
      <c r="M4" s="645" t="n"/>
    </row>
    <row r="5" ht="14.55" customHeight="1" thickBot="1">
      <c r="C5" s="88" t="n"/>
      <c r="D5" s="89" t="n"/>
      <c r="E5" s="89" t="n"/>
      <c r="F5" s="89" t="n"/>
      <c r="G5" s="89">
        <f>"FY"&amp;G1&amp;"A"</f>
        <v/>
      </c>
      <c r="H5" s="89">
        <f>"FY"&amp;H1&amp;"A"</f>
        <v/>
      </c>
      <c r="I5" s="89">
        <f>"FY"&amp;I1&amp;"A"</f>
        <v/>
      </c>
      <c r="J5" s="646">
        <f>"FY"&amp;YEAR(J1)&amp;"A"</f>
        <v/>
      </c>
      <c r="M5" s="645" t="inlineStr">
        <is>
          <t>X</t>
        </is>
      </c>
    </row>
    <row r="6" ht="5.2" customHeight="1">
      <c r="C6" s="91" t="n"/>
      <c r="D6" s="91" t="n"/>
      <c r="E6" s="91" t="n"/>
      <c r="F6" s="91" t="n"/>
      <c r="G6" s="91" t="n"/>
      <c r="H6" s="91" t="n"/>
      <c r="I6" s="91" t="n"/>
      <c r="J6" s="91" t="n"/>
      <c r="M6" s="645" t="inlineStr">
        <is>
          <t>X</t>
        </is>
      </c>
    </row>
    <row r="7" ht="30" customHeight="1" thickBot="1">
      <c r="C7" s="92" t="inlineStr">
        <is>
          <t>Income Statement</t>
        </is>
      </c>
      <c r="D7" s="93" t="n"/>
      <c r="E7" s="93" t="n"/>
      <c r="F7" s="93" t="n"/>
      <c r="G7" s="93" t="n"/>
      <c r="H7" s="93" t="n"/>
      <c r="I7" s="93" t="n"/>
      <c r="J7" s="93" t="n"/>
      <c r="M7" s="645" t="inlineStr">
        <is>
          <t>X</t>
        </is>
      </c>
    </row>
    <row r="8" ht="15.75" customHeight="1">
      <c r="C8" s="94" t="n"/>
      <c r="D8" s="95" t="n"/>
      <c r="E8" s="95" t="n"/>
      <c r="F8" s="95" t="n"/>
      <c r="G8" s="96" t="n"/>
      <c r="H8" s="96" t="n"/>
      <c r="I8" s="96" t="n"/>
      <c r="J8" s="96" t="n"/>
      <c r="M8" s="645" t="inlineStr">
        <is>
          <t>X</t>
        </is>
      </c>
    </row>
    <row r="9" ht="13.5" customHeight="1">
      <c r="C9" s="147" t="inlineStr">
        <is>
          <t>Service revenues</t>
        </is>
      </c>
      <c r="D9" s="97" t="n"/>
      <c r="E9" s="97" t="n"/>
      <c r="F9" s="97" t="n"/>
      <c r="G9" s="647" t="n">
        <v>3198.128</v>
      </c>
      <c r="H9" s="647" t="n">
        <v>3561.002</v>
      </c>
      <c r="I9" s="647" t="n">
        <v>3968.662</v>
      </c>
      <c r="J9" s="647" t="n">
        <v>3969.52</v>
      </c>
      <c r="M9" s="645" t="inlineStr">
        <is>
          <t>X</t>
        </is>
      </c>
    </row>
    <row r="10" ht="13.5" customHeight="1">
      <c r="C10" s="147" t="inlineStr">
        <is>
          <t>Vehicle sales</t>
        </is>
      </c>
      <c r="D10" s="97" t="n"/>
      <c r="E10" s="97" t="n"/>
      <c r="F10" s="97" t="n"/>
      <c r="G10" s="648" t="n">
        <v>671.39</v>
      </c>
      <c r="H10" s="648" t="n">
        <v>675.821</v>
      </c>
      <c r="I10" s="648" t="n">
        <v>678.296</v>
      </c>
      <c r="J10" s="648" t="n">
        <v>696.689</v>
      </c>
      <c r="M10" s="645" t="inlineStr">
        <is>
          <t>X</t>
        </is>
      </c>
    </row>
    <row r="11" ht="13.9" customHeight="1">
      <c r="C11" s="99" t="inlineStr">
        <is>
          <t>Total Revenue</t>
        </is>
      </c>
      <c r="D11" s="100" t="n"/>
      <c r="E11" s="100" t="n"/>
      <c r="F11" s="100" t="n"/>
      <c r="G11" s="649">
        <f>SUM(G9:G10)</f>
        <v/>
      </c>
      <c r="H11" s="649">
        <f>SUM(H9:H10)</f>
        <v/>
      </c>
      <c r="I11" s="649">
        <f>SUM(I9:I10)</f>
        <v/>
      </c>
      <c r="J11" s="649">
        <f>SUM(J9:J10)</f>
        <v/>
      </c>
      <c r="M11" s="645" t="inlineStr">
        <is>
          <t>X</t>
        </is>
      </c>
    </row>
    <row r="12" ht="13.9" customHeight="1">
      <c r="C12" s="102" t="n"/>
      <c r="D12" s="103" t="n"/>
      <c r="E12" s="103" t="n"/>
      <c r="F12" s="103" t="n"/>
      <c r="G12" s="650" t="n"/>
      <c r="H12" s="650" t="n"/>
      <c r="I12" s="650" t="n"/>
      <c r="J12" s="650" t="n"/>
      <c r="M12" s="645" t="inlineStr">
        <is>
          <t>X</t>
        </is>
      </c>
    </row>
    <row r="13" ht="13.5" customHeight="1">
      <c r="C13" s="147" t="inlineStr">
        <is>
          <t>Facility operations (incl. facility SBC; ex-D&amp;A)</t>
        </is>
      </c>
      <c r="D13" s="97" t="n"/>
      <c r="E13" s="97" t="n"/>
      <c r="F13" s="97" t="n"/>
      <c r="G13" s="647">
        <f>1369.006+6.926-(159.684-142.097-17.381)</f>
        <v/>
      </c>
      <c r="H13" s="647">
        <f>1532.484+6.95-(190.256-170.65-19.111)</f>
        <v/>
      </c>
      <c r="I13" s="647">
        <f>1744.436+8.107-(217.784-191.775-24.074)</f>
        <v/>
      </c>
      <c r="J13" s="647">
        <f>1755.747+8.472-(238.466-201.669-27.704)</f>
        <v/>
      </c>
      <c r="M13" s="645" t="inlineStr">
        <is>
          <t>X</t>
        </is>
      </c>
    </row>
    <row r="14" ht="13.5" customHeight="1">
      <c r="C14" s="147" t="inlineStr">
        <is>
          <t>Cost of vehicle sales</t>
        </is>
      </c>
      <c r="D14" s="97" t="n"/>
      <c r="E14" s="97" t="n"/>
      <c r="F14" s="97" t="n"/>
      <c r="G14" s="648" t="n">
        <v>614.498</v>
      </c>
      <c r="H14" s="648" t="n">
        <v>619.487</v>
      </c>
      <c r="I14" s="648" t="n">
        <v>602.997</v>
      </c>
      <c r="J14" s="648" t="n">
        <v>616.463</v>
      </c>
      <c r="M14" s="645" t="inlineStr">
        <is>
          <t>X</t>
        </is>
      </c>
    </row>
    <row r="15" ht="13.9" customHeight="1">
      <c r="C15" s="99" t="inlineStr">
        <is>
          <t>Total COGS</t>
        </is>
      </c>
      <c r="D15" s="100" t="n"/>
      <c r="E15" s="100" t="n"/>
      <c r="F15" s="100" t="n"/>
      <c r="G15" s="649">
        <f>SUM(G13:G14)</f>
        <v/>
      </c>
      <c r="H15" s="651">
        <f>SUM(H13:H14)</f>
        <v/>
      </c>
      <c r="I15" s="651">
        <f>SUM(I13:I14)</f>
        <v/>
      </c>
      <c r="J15" s="651">
        <f>SUM(J13:J14)</f>
        <v/>
      </c>
      <c r="M15" s="645" t="inlineStr">
        <is>
          <t>X</t>
        </is>
      </c>
    </row>
    <row r="16">
      <c r="C16" s="313" t="inlineStr">
        <is>
          <t>% of Revenue</t>
        </is>
      </c>
      <c r="D16" s="106" t="n"/>
      <c r="E16" s="106" t="n"/>
      <c r="F16" s="106" t="n"/>
      <c r="G16" s="107">
        <f>+G15/G11</f>
        <v/>
      </c>
      <c r="H16" s="107">
        <f>+H15/H11</f>
        <v/>
      </c>
      <c r="I16" s="107">
        <f>+I15/I11</f>
        <v/>
      </c>
      <c r="J16" s="107">
        <f>+J15/J11</f>
        <v/>
      </c>
      <c r="M16" s="645" t="inlineStr">
        <is>
          <t>X</t>
        </is>
      </c>
    </row>
    <row r="17" ht="13.9" customHeight="1">
      <c r="C17" s="102" t="n"/>
      <c r="D17" s="103" t="n"/>
      <c r="E17" s="103" t="n"/>
      <c r="F17" s="103" t="n"/>
      <c r="G17" s="652" t="n"/>
      <c r="H17" s="652" t="n"/>
      <c r="I17" s="652" t="n"/>
      <c r="J17" s="652" t="n"/>
      <c r="M17" s="645" t="inlineStr">
        <is>
          <t>X</t>
        </is>
      </c>
    </row>
    <row r="18" ht="13.9" customHeight="1">
      <c r="C18" s="99" t="inlineStr">
        <is>
          <t>Gross Profit</t>
        </is>
      </c>
      <c r="D18" s="100" t="n"/>
      <c r="E18" s="100" t="n"/>
      <c r="F18" s="100" t="n"/>
      <c r="G18" s="653">
        <f>+G11-G15</f>
        <v/>
      </c>
      <c r="H18" s="653">
        <f>+H11-H15</f>
        <v/>
      </c>
      <c r="I18" s="653">
        <f>+I11-I15</f>
        <v/>
      </c>
      <c r="J18" s="653">
        <f>+J11-J15</f>
        <v/>
      </c>
      <c r="M18" s="645" t="inlineStr">
        <is>
          <t>X</t>
        </is>
      </c>
    </row>
    <row r="19">
      <c r="C19" s="313" t="inlineStr">
        <is>
          <t>% Gross Margin</t>
        </is>
      </c>
      <c r="D19" s="106" t="n"/>
      <c r="E19" s="106" t="n"/>
      <c r="F19" s="106" t="n"/>
      <c r="G19" s="107">
        <f>+G18/G11</f>
        <v/>
      </c>
      <c r="H19" s="107">
        <f>+H18/H11</f>
        <v/>
      </c>
      <c r="I19" s="107">
        <f>+I18/I11</f>
        <v/>
      </c>
      <c r="J19" s="107">
        <f>+J18/J11</f>
        <v/>
      </c>
      <c r="M19" s="645" t="inlineStr">
        <is>
          <t>X</t>
        </is>
      </c>
    </row>
    <row r="20" ht="13.5" customHeight="1">
      <c r="C20" s="111" t="n"/>
      <c r="D20" s="97" t="n"/>
      <c r="E20" s="97" t="n"/>
      <c r="F20" s="97" t="n"/>
      <c r="G20" s="97" t="n"/>
      <c r="H20" s="97" t="n"/>
      <c r="I20" s="97" t="n"/>
      <c r="J20" s="97" t="n"/>
      <c r="M20" s="645" t="inlineStr">
        <is>
          <t>X</t>
        </is>
      </c>
    </row>
    <row r="21" ht="14.25" customHeight="1">
      <c r="C21" s="245" t="inlineStr">
        <is>
          <t>General &amp; Administrative</t>
        </is>
      </c>
      <c r="D21" s="97" t="n"/>
      <c r="E21" s="97" t="n"/>
      <c r="F21" s="97" t="n"/>
      <c r="G21" s="647">
        <f>200.294+32.747</f>
        <v/>
      </c>
      <c r="H21" s="647">
        <f>287.834+28.284</f>
        <v/>
      </c>
      <c r="I21" s="647">
        <f>348.958+29.897</f>
        <v/>
      </c>
      <c r="J21" s="647">
        <f>373.218+30.346</f>
        <v/>
      </c>
      <c r="M21" s="645" t="inlineStr">
        <is>
          <t>X</t>
        </is>
      </c>
    </row>
    <row r="22" ht="14.25" customHeight="1">
      <c r="C22" s="245" t="inlineStr">
        <is>
          <t>Sales &amp; Marketing</t>
        </is>
      </c>
      <c r="D22" s="97" t="n"/>
      <c r="E22" s="97" t="n"/>
      <c r="F22" s="97" t="n"/>
      <c r="G22" s="648" t="n">
        <v>0</v>
      </c>
      <c r="H22" s="648" t="n">
        <v>0</v>
      </c>
      <c r="I22" s="648" t="n">
        <v>0</v>
      </c>
      <c r="J22" s="648" t="n">
        <v>0</v>
      </c>
      <c r="M22" s="645" t="inlineStr">
        <is>
          <t>X</t>
        </is>
      </c>
    </row>
    <row r="23" ht="13.5" customHeight="1">
      <c r="C23" s="245" t="inlineStr">
        <is>
          <t>Research &amp; Development</t>
        </is>
      </c>
      <c r="D23" s="97" t="n"/>
      <c r="E23" s="97" t="n"/>
      <c r="F23" s="97" t="n"/>
      <c r="G23" s="648" t="n">
        <v>0</v>
      </c>
      <c r="H23" s="648" t="n">
        <v>0</v>
      </c>
      <c r="I23" s="648" t="n">
        <v>0</v>
      </c>
      <c r="J23" s="648" t="n">
        <v>0</v>
      </c>
      <c r="M23" s="645" t="inlineStr">
        <is>
          <t>X</t>
        </is>
      </c>
    </row>
    <row r="24" ht="13.5" customHeight="1">
      <c r="C24" s="312" t="inlineStr">
        <is>
          <t>Total Operating Expenses</t>
        </is>
      </c>
      <c r="D24" s="112" t="n"/>
      <c r="E24" s="112" t="n"/>
      <c r="F24" s="112" t="n"/>
      <c r="G24" s="654">
        <f>SUM(G23,G22,G21)</f>
        <v/>
      </c>
      <c r="H24" s="654">
        <f>SUM(H23,H22,H21)</f>
        <v/>
      </c>
      <c r="I24" s="654">
        <f>SUM(I23,I22,I21)</f>
        <v/>
      </c>
      <c r="J24" s="654">
        <f>SUM(J23,J22,J21)</f>
        <v/>
      </c>
      <c r="M24" s="645" t="inlineStr">
        <is>
          <t>X</t>
        </is>
      </c>
    </row>
    <row r="25">
      <c r="C25" s="313" t="inlineStr">
        <is>
          <t>% of Revenue</t>
        </is>
      </c>
      <c r="D25" s="106" t="n"/>
      <c r="E25" s="106" t="n"/>
      <c r="F25" s="106" t="n"/>
      <c r="G25" s="114">
        <f>+G24/G$11</f>
        <v/>
      </c>
      <c r="H25" s="114">
        <f>+H24/H$11</f>
        <v/>
      </c>
      <c r="I25" s="114">
        <f>+I24/I$11</f>
        <v/>
      </c>
      <c r="J25" s="114">
        <f>+J24/J$11</f>
        <v/>
      </c>
      <c r="M25" s="645" t="inlineStr">
        <is>
          <t>X</t>
        </is>
      </c>
    </row>
    <row r="26">
      <c r="C26" s="110" t="n"/>
      <c r="D26" s="106" t="n"/>
      <c r="E26" s="106" t="n"/>
      <c r="F26" s="106" t="n"/>
      <c r="G26" s="114" t="n"/>
      <c r="H26" s="114" t="n"/>
      <c r="I26" s="114" t="n"/>
      <c r="J26" s="114" t="n"/>
      <c r="M26" s="645" t="inlineStr">
        <is>
          <t>X</t>
        </is>
      </c>
    </row>
    <row r="27" ht="13.9" customHeight="1">
      <c r="C27" s="99" t="inlineStr">
        <is>
          <t>EBITDA</t>
        </is>
      </c>
      <c r="D27" s="100" t="n"/>
      <c r="E27" s="100" t="n"/>
      <c r="F27" s="100" t="n"/>
      <c r="G27" s="651">
        <f>+G18-G24</f>
        <v/>
      </c>
      <c r="H27" s="651">
        <f>+H18-H24</f>
        <v/>
      </c>
      <c r="I27" s="651">
        <f>+I18-I24</f>
        <v/>
      </c>
      <c r="J27" s="651">
        <f>+J18-J24</f>
        <v/>
      </c>
      <c r="M27" s="645" t="inlineStr">
        <is>
          <t>X</t>
        </is>
      </c>
    </row>
    <row r="28">
      <c r="C28" s="313" t="inlineStr">
        <is>
          <t>% EBITDA Margin</t>
        </is>
      </c>
      <c r="D28" s="106" t="n"/>
      <c r="E28" s="106" t="n"/>
      <c r="F28" s="106" t="n"/>
      <c r="G28" s="107">
        <f>+G27/G$11</f>
        <v/>
      </c>
      <c r="H28" s="107">
        <f>+H27/H$11</f>
        <v/>
      </c>
      <c r="I28" s="107">
        <f>+I27/I$11</f>
        <v/>
      </c>
      <c r="J28" s="107">
        <f>+J27/J$11</f>
        <v/>
      </c>
      <c r="M28" s="645" t="inlineStr">
        <is>
          <t>X</t>
        </is>
      </c>
    </row>
    <row r="29">
      <c r="C29" s="110" t="n"/>
      <c r="D29" s="106" t="n"/>
      <c r="E29" s="106" t="n"/>
      <c r="F29" s="106" t="n"/>
      <c r="G29" s="114" t="n"/>
      <c r="H29" s="114" t="n"/>
      <c r="I29" s="114" t="n"/>
      <c r="J29" s="114" t="n"/>
      <c r="M29" s="645" t="inlineStr">
        <is>
          <t>X</t>
        </is>
      </c>
    </row>
    <row r="30" ht="13.5" customHeight="1">
      <c r="C30" s="245" t="inlineStr">
        <is>
          <t>Depreciation</t>
        </is>
      </c>
      <c r="D30" s="97" t="n"/>
      <c r="E30" s="97" t="n"/>
      <c r="F30" s="97" t="n"/>
      <c r="G30" s="647" t="n">
        <v>159.684</v>
      </c>
      <c r="H30" s="647" t="n">
        <v>190.256</v>
      </c>
      <c r="I30" s="647" t="n">
        <v>217.784</v>
      </c>
      <c r="J30" s="647" t="n">
        <v>238.466</v>
      </c>
      <c r="M30" s="645" t="inlineStr">
        <is>
          <t>X</t>
        </is>
      </c>
    </row>
    <row r="31" ht="13.5" customHeight="1">
      <c r="C31" s="245" t="inlineStr">
        <is>
          <t>Amortization</t>
        </is>
      </c>
      <c r="D31" s="97" t="n"/>
      <c r="E31" s="97" t="n"/>
      <c r="F31" s="97" t="n"/>
      <c r="G31" s="648" t="n">
        <v>0</v>
      </c>
      <c r="H31" s="648" t="n">
        <v>0</v>
      </c>
      <c r="I31" s="648" t="n">
        <v>0</v>
      </c>
      <c r="J31" s="648" t="n">
        <v>0</v>
      </c>
      <c r="M31" s="645" t="inlineStr">
        <is>
          <t>X</t>
        </is>
      </c>
    </row>
    <row r="32">
      <c r="C32" s="110" t="n"/>
      <c r="D32" s="106" t="n"/>
      <c r="E32" s="106" t="n"/>
      <c r="F32" s="106" t="n"/>
      <c r="G32" s="114" t="n"/>
      <c r="H32" s="114" t="n"/>
      <c r="I32" s="114" t="n"/>
      <c r="J32" s="114" t="n"/>
      <c r="M32" s="645" t="inlineStr">
        <is>
          <t>X</t>
        </is>
      </c>
    </row>
    <row r="33" ht="13.9" customHeight="1">
      <c r="C33" s="99" t="inlineStr">
        <is>
          <t>EBIT</t>
        </is>
      </c>
      <c r="D33" s="100" t="n"/>
      <c r="E33" s="100" t="n"/>
      <c r="F33" s="100" t="n"/>
      <c r="G33" s="651">
        <f>+G27-SUM(G30:G31)</f>
        <v/>
      </c>
      <c r="H33" s="651">
        <f>+H27-SUM(H30:H31)</f>
        <v/>
      </c>
      <c r="I33" s="651">
        <f>+I27-SUM(I30:I31)</f>
        <v/>
      </c>
      <c r="J33" s="651">
        <f>+J27-SUM(J30:J31)</f>
        <v/>
      </c>
      <c r="M33" s="645" t="inlineStr">
        <is>
          <t>X</t>
        </is>
      </c>
    </row>
    <row r="34">
      <c r="C34" s="313" t="inlineStr">
        <is>
          <t>% EBIT Margin</t>
        </is>
      </c>
      <c r="D34" s="106" t="n"/>
      <c r="E34" s="106" t="n"/>
      <c r="F34" s="106" t="n"/>
      <c r="G34" s="107">
        <f>+G33/G$11</f>
        <v/>
      </c>
      <c r="H34" s="107">
        <f>+H33/H$11</f>
        <v/>
      </c>
      <c r="I34" s="107">
        <f>+I33/I$11</f>
        <v/>
      </c>
      <c r="J34" s="107">
        <f>+J33/J$11</f>
        <v/>
      </c>
      <c r="M34" s="645" t="inlineStr">
        <is>
          <t>X</t>
        </is>
      </c>
    </row>
    <row r="35">
      <c r="C35" s="110" t="n"/>
      <c r="D35" s="106" t="n"/>
      <c r="E35" s="106" t="n"/>
      <c r="F35" s="106" t="n"/>
      <c r="G35" s="114" t="n"/>
      <c r="H35" s="114" t="n"/>
      <c r="I35" s="114" t="n"/>
      <c r="J35" s="114" t="n"/>
      <c r="M35" s="645" t="inlineStr">
        <is>
          <t>X</t>
        </is>
      </c>
    </row>
    <row r="36" ht="13.5" customHeight="1">
      <c r="C36" s="111" t="inlineStr">
        <is>
          <t>Interest Expense</t>
        </is>
      </c>
      <c r="D36" s="95" t="n"/>
      <c r="E36" s="95" t="n"/>
      <c r="F36" s="95" t="n"/>
      <c r="G36" s="647" t="n">
        <v>2.614</v>
      </c>
      <c r="H36" s="647" t="n">
        <v>3.127</v>
      </c>
      <c r="I36" s="647" t="n">
        <v>2.019</v>
      </c>
      <c r="J36" s="647" t="n">
        <v>1.866</v>
      </c>
      <c r="M36" s="645" t="inlineStr">
        <is>
          <t>X</t>
        </is>
      </c>
    </row>
    <row r="37" ht="13.5" customHeight="1">
      <c r="C37" s="111" t="n"/>
      <c r="D37" s="95" t="n"/>
      <c r="E37" s="95" t="n"/>
      <c r="F37" s="95" t="n"/>
      <c r="G37" s="655" t="n"/>
      <c r="H37" s="655" t="n"/>
      <c r="I37" s="655" t="n"/>
      <c r="J37" s="655" t="n"/>
      <c r="M37" s="645" t="inlineStr">
        <is>
          <t>X</t>
        </is>
      </c>
    </row>
    <row r="38" outlineLevel="1" ht="13.5" customHeight="1">
      <c r="C38" s="147" t="inlineStr">
        <is>
          <t>Interest income, gross (= -(Interest income, net + interest paid))</t>
        </is>
      </c>
      <c r="D38" s="97" t="n"/>
      <c r="E38" s="97" t="n"/>
      <c r="F38" s="97" t="n"/>
      <c r="G38" s="647">
        <f>-(65.928+2.614)</f>
        <v/>
      </c>
      <c r="H38" s="647">
        <f>-(145.673+3.127)</f>
        <v/>
      </c>
      <c r="I38" s="647">
        <f>-(178.909+2.019)</f>
        <v/>
      </c>
      <c r="J38" s="647">
        <f>-(181.923+1.866)</f>
        <v/>
      </c>
      <c r="M38" s="645" t="inlineStr">
        <is>
          <t>X</t>
        </is>
      </c>
    </row>
    <row r="39" outlineLevel="1" ht="13.5" customHeight="1">
      <c r="C39" s="147" t="inlineStr">
        <is>
          <t>Other (income) expense, net</t>
        </is>
      </c>
      <c r="D39" s="97" t="n"/>
      <c r="E39" s="97" t="n"/>
      <c r="F39" s="97" t="n"/>
      <c r="G39" s="648" t="n">
        <v>-1.831</v>
      </c>
      <c r="H39" s="648" t="n">
        <v>3.095</v>
      </c>
      <c r="I39" s="648" t="n">
        <v>-19.958</v>
      </c>
      <c r="J39" s="648" t="n">
        <v>-0.464</v>
      </c>
      <c r="M39" s="645" t="inlineStr">
        <is>
          <t>X</t>
        </is>
      </c>
    </row>
    <row r="40" outlineLevel="1" ht="13.5" customHeight="1">
      <c r="C40" s="147" t="inlineStr">
        <is>
          <t>Net loss attributable to noncontrolling interest</t>
        </is>
      </c>
      <c r="D40" s="97" t="n"/>
      <c r="E40" s="97" t="n"/>
      <c r="F40" s="97" t="n"/>
      <c r="G40" s="648" t="n">
        <v>0</v>
      </c>
      <c r="H40" s="648" t="n">
        <v>-0.673</v>
      </c>
      <c r="I40" s="648" t="n">
        <v>-4.086</v>
      </c>
      <c r="J40" s="648" t="n">
        <v>-3.873</v>
      </c>
      <c r="M40" s="645" t="inlineStr">
        <is>
          <t>X</t>
        </is>
      </c>
    </row>
    <row r="41" ht="13.5" customHeight="1">
      <c r="C41" s="314" t="inlineStr">
        <is>
          <t>Other (Income) Expenses</t>
        </is>
      </c>
      <c r="D41" s="112" t="n"/>
      <c r="E41" s="112" t="n"/>
      <c r="F41" s="112" t="n"/>
      <c r="G41" s="656">
        <f>SUM(G38:G40)</f>
        <v/>
      </c>
      <c r="H41" s="656">
        <f>SUM(H38:H40)</f>
        <v/>
      </c>
      <c r="I41" s="656">
        <f>SUM(I38:I40)</f>
        <v/>
      </c>
      <c r="J41" s="656">
        <f>SUM(J38:J40)</f>
        <v/>
      </c>
      <c r="M41" s="645" t="inlineStr">
        <is>
          <t>X</t>
        </is>
      </c>
    </row>
    <row r="42">
      <c r="C42" s="313" t="inlineStr">
        <is>
          <t>% of Revenue</t>
        </is>
      </c>
      <c r="D42" s="106" t="n"/>
      <c r="E42" s="106" t="n"/>
      <c r="F42" s="106" t="n"/>
      <c r="G42" s="114">
        <f>+G41/G$11</f>
        <v/>
      </c>
      <c r="H42" s="114">
        <f>+H41/H$11</f>
        <v/>
      </c>
      <c r="I42" s="114">
        <f>+I41/I$11</f>
        <v/>
      </c>
      <c r="J42" s="114">
        <f>+J41/J$11</f>
        <v/>
      </c>
      <c r="M42" s="645" t="inlineStr">
        <is>
          <t>X</t>
        </is>
      </c>
    </row>
    <row r="43">
      <c r="C43" s="110" t="n"/>
      <c r="D43" s="106" t="n"/>
      <c r="E43" s="106" t="n"/>
      <c r="F43" s="106" t="n"/>
      <c r="G43" s="114" t="n"/>
      <c r="H43" s="114" t="n"/>
      <c r="I43" s="114" t="n"/>
      <c r="J43" s="114" t="n"/>
      <c r="M43" s="645" t="inlineStr">
        <is>
          <t>X</t>
        </is>
      </c>
    </row>
    <row r="44" ht="13.9" customHeight="1">
      <c r="C44" s="99" t="inlineStr">
        <is>
          <t>EBT</t>
        </is>
      </c>
      <c r="D44" s="100" t="n"/>
      <c r="E44" s="100" t="n"/>
      <c r="F44" s="100" t="n"/>
      <c r="G44" s="651">
        <f>+G33-SUM(G41,G36)</f>
        <v/>
      </c>
      <c r="H44" s="651">
        <f>+H33-SUM(H41,H36)</f>
        <v/>
      </c>
      <c r="I44" s="651">
        <f>+I33-SUM(I41,I36)</f>
        <v/>
      </c>
      <c r="J44" s="651">
        <f>+J33-SUM(J41,J36)</f>
        <v/>
      </c>
      <c r="M44" s="645" t="inlineStr">
        <is>
          <t>X</t>
        </is>
      </c>
    </row>
    <row r="45">
      <c r="C45" s="313" t="inlineStr">
        <is>
          <t>% EBIT Margin</t>
        </is>
      </c>
      <c r="D45" s="106" t="n"/>
      <c r="E45" s="106" t="n"/>
      <c r="F45" s="106" t="n"/>
      <c r="G45" s="107">
        <f>+G44/G$11</f>
        <v/>
      </c>
      <c r="H45" s="107">
        <f>+H44/H$11</f>
        <v/>
      </c>
      <c r="I45" s="107">
        <f>+I44/I$11</f>
        <v/>
      </c>
      <c r="J45" s="107">
        <f>+J44/J$11</f>
        <v/>
      </c>
      <c r="M45" s="645" t="inlineStr">
        <is>
          <t>X</t>
        </is>
      </c>
    </row>
    <row r="46">
      <c r="C46" s="110" t="n"/>
      <c r="D46" s="106" t="n"/>
      <c r="E46" s="106" t="n"/>
      <c r="F46" s="106" t="n"/>
      <c r="G46" s="114" t="n"/>
      <c r="H46" s="114" t="n"/>
      <c r="I46" s="114" t="n"/>
      <c r="J46" s="114" t="n"/>
      <c r="M46" s="645" t="inlineStr">
        <is>
          <t>X</t>
        </is>
      </c>
    </row>
    <row r="47" ht="13.5" customHeight="1">
      <c r="C47" s="245" t="inlineStr">
        <is>
          <t>Taxes</t>
        </is>
      </c>
      <c r="D47" s="95" t="n"/>
      <c r="E47" s="95" t="n"/>
      <c r="F47" s="95" t="n"/>
      <c r="G47" s="647" t="n">
        <v>316.587</v>
      </c>
      <c r="H47" s="647" t="n">
        <v>352.254</v>
      </c>
      <c r="I47" s="647" t="n">
        <v>347.218</v>
      </c>
      <c r="J47" s="647" t="n">
        <v>354.58</v>
      </c>
      <c r="M47" s="645" t="inlineStr">
        <is>
          <t>X</t>
        </is>
      </c>
    </row>
    <row r="48" ht="13.5" customHeight="1">
      <c r="C48" s="111" t="n"/>
      <c r="D48" s="95" t="n"/>
      <c r="E48" s="95" t="n"/>
      <c r="F48" s="95" t="n"/>
      <c r="G48" s="95" t="n"/>
      <c r="H48" s="95" t="n"/>
      <c r="I48" s="95" t="n"/>
      <c r="J48" s="95" t="n"/>
      <c r="M48" s="645" t="inlineStr">
        <is>
          <t>X</t>
        </is>
      </c>
    </row>
    <row r="49" ht="13.9" customHeight="1">
      <c r="C49" s="99" t="inlineStr">
        <is>
          <t>Net Income</t>
        </is>
      </c>
      <c r="D49" s="100" t="n"/>
      <c r="E49" s="100" t="n"/>
      <c r="F49" s="100" t="n"/>
      <c r="G49" s="651">
        <f>+G44-G47</f>
        <v/>
      </c>
      <c r="H49" s="651">
        <f>+H44-H47</f>
        <v/>
      </c>
      <c r="I49" s="651">
        <f>+I44-I47</f>
        <v/>
      </c>
      <c r="J49" s="651">
        <f>+J44-J47</f>
        <v/>
      </c>
      <c r="M49" s="645" t="inlineStr">
        <is>
          <t>X</t>
        </is>
      </c>
    </row>
    <row r="50">
      <c r="C50" s="313" t="inlineStr">
        <is>
          <t>% Profit Margin</t>
        </is>
      </c>
      <c r="D50" s="106" t="n"/>
      <c r="E50" s="106" t="n"/>
      <c r="F50" s="106" t="n"/>
      <c r="G50" s="107">
        <f>+G49/G$11</f>
        <v/>
      </c>
      <c r="H50" s="107">
        <f>+H49/H$11</f>
        <v/>
      </c>
      <c r="I50" s="107">
        <f>+I49/I$11</f>
        <v/>
      </c>
      <c r="J50" s="107">
        <f>+J49/J$11</f>
        <v/>
      </c>
      <c r="M50" s="645" t="inlineStr">
        <is>
          <t>X</t>
        </is>
      </c>
    </row>
    <row r="51">
      <c r="C51" s="110" t="n"/>
      <c r="D51" s="106" t="n"/>
      <c r="E51" s="106" t="n"/>
      <c r="F51" s="106" t="n"/>
      <c r="G51" s="657" t="n"/>
      <c r="H51" s="114" t="n"/>
      <c r="I51" s="114" t="n"/>
      <c r="J51" s="114" t="n"/>
      <c r="M51" s="645" t="inlineStr">
        <is>
          <t>X</t>
        </is>
      </c>
    </row>
    <row r="52" ht="13.9" customHeight="1">
      <c r="C52" s="118" t="inlineStr">
        <is>
          <t>Company Reported Net Income</t>
        </is>
      </c>
      <c r="D52" s="119" t="n"/>
      <c r="E52" s="119" t="n"/>
      <c r="F52" s="119" t="n"/>
      <c r="G52" s="658" t="n">
        <v>1237.741</v>
      </c>
      <c r="H52" s="658" t="n">
        <v>1363.02</v>
      </c>
      <c r="I52" s="658" t="n">
        <v>1552.449</v>
      </c>
      <c r="J52" s="659" t="n">
        <v>1484.27</v>
      </c>
      <c r="M52" s="645" t="inlineStr">
        <is>
          <t>X</t>
        </is>
      </c>
    </row>
    <row r="53" ht="13.9" customFormat="1" customHeight="1" s="8">
      <c r="A53" s="191" t="n"/>
      <c r="B53" s="191" t="n"/>
      <c r="C53" s="120" t="inlineStr">
        <is>
          <t>Check</t>
        </is>
      </c>
      <c r="D53" s="365" t="n"/>
      <c r="E53" s="365" t="n"/>
      <c r="F53" s="365" t="n"/>
      <c r="G53" s="660">
        <f>+G49-G52</f>
        <v/>
      </c>
      <c r="H53" s="660">
        <f>+H49-H52</f>
        <v/>
      </c>
      <c r="I53" s="660">
        <f>+I49-I52</f>
        <v/>
      </c>
      <c r="J53" s="661">
        <f>+J49-J52</f>
        <v/>
      </c>
      <c r="M53" s="662" t="inlineStr">
        <is>
          <t>X</t>
        </is>
      </c>
    </row>
    <row r="54" ht="10.5" customHeight="1" thickBot="1">
      <c r="C54" s="110" t="n"/>
      <c r="D54" s="106" t="n"/>
      <c r="E54" s="106" t="n"/>
      <c r="F54" s="106" t="n"/>
      <c r="G54" s="657" t="n"/>
      <c r="H54" s="114" t="n"/>
      <c r="I54" s="114" t="n"/>
      <c r="J54" s="114" t="n"/>
      <c r="M54" s="645" t="inlineStr">
        <is>
          <t>X</t>
        </is>
      </c>
    </row>
    <row r="55" ht="30" customHeight="1" thickBot="1">
      <c r="A55" s="79" t="inlineStr">
        <is>
          <t>X</t>
        </is>
      </c>
      <c r="C55" s="121" t="inlineStr">
        <is>
          <t>Balance Sheet</t>
        </is>
      </c>
      <c r="D55" s="122" t="n"/>
      <c r="E55" s="122" t="n"/>
      <c r="F55" s="122" t="n"/>
      <c r="G55" s="122" t="n"/>
      <c r="H55" s="122" t="n"/>
      <c r="I55" s="122" t="n"/>
      <c r="J55" s="122" t="n"/>
      <c r="M55" s="645" t="inlineStr">
        <is>
          <t>X</t>
        </is>
      </c>
    </row>
    <row r="56" ht="13.5" customHeight="1">
      <c r="C56" s="95" t="n"/>
      <c r="D56" s="95" t="n"/>
      <c r="E56" s="95" t="n"/>
      <c r="F56" s="95" t="n"/>
      <c r="G56" s="95" t="n"/>
      <c r="H56" s="95" t="n"/>
      <c r="I56" s="95" t="n"/>
      <c r="J56" s="95" t="n"/>
      <c r="M56" s="645" t="inlineStr">
        <is>
          <t>X</t>
        </is>
      </c>
    </row>
    <row r="57" ht="13.9" customHeight="1">
      <c r="C57" s="123" t="inlineStr">
        <is>
          <t>Assets</t>
        </is>
      </c>
      <c r="D57" s="95" t="n"/>
      <c r="E57" s="95" t="n"/>
      <c r="F57" s="95" t="n"/>
      <c r="G57" s="95" t="n"/>
      <c r="H57" s="95" t="n"/>
      <c r="I57" s="95" t="n"/>
      <c r="J57" s="95" t="n"/>
      <c r="M57" s="645" t="inlineStr">
        <is>
          <t>X</t>
        </is>
      </c>
    </row>
    <row r="58" ht="13.9" customHeight="1">
      <c r="C58" s="123" t="n"/>
      <c r="D58" s="95" t="n"/>
      <c r="E58" s="95" t="n"/>
      <c r="F58" s="95" t="n"/>
      <c r="G58" s="95" t="n"/>
      <c r="H58" s="95" t="n"/>
      <c r="I58" s="95" t="n"/>
      <c r="J58" s="95" t="n"/>
      <c r="M58" s="645" t="inlineStr">
        <is>
          <t>X</t>
        </is>
      </c>
    </row>
    <row r="59" ht="13.5" customHeight="1">
      <c r="C59" s="111" t="inlineStr">
        <is>
          <t>Cash, equivalents, restricted cash + HTM securities</t>
        </is>
      </c>
      <c r="D59" s="95" t="n"/>
      <c r="E59" s="95" t="n"/>
      <c r="F59" s="95" t="n"/>
      <c r="G59" s="647">
        <f>957.395+1406.589</f>
        <v/>
      </c>
      <c r="H59" s="647">
        <f>1514.111+1908.047</f>
        <v/>
      </c>
      <c r="I59" s="647">
        <f>2780.531+2008.539</f>
        <v/>
      </c>
      <c r="J59" s="647">
        <f>1907.901+2581.901</f>
        <v/>
      </c>
      <c r="M59" s="645" t="inlineStr">
        <is>
          <t>X</t>
        </is>
      </c>
    </row>
    <row r="60" ht="13.5" customHeight="1">
      <c r="C60" s="111" t="inlineStr">
        <is>
          <t>Accounts Receivable</t>
        </is>
      </c>
      <c r="D60" s="95" t="n"/>
      <c r="E60" s="95" t="n"/>
      <c r="F60" s="95" t="n"/>
      <c r="G60" s="648" t="n">
        <v>702.038</v>
      </c>
      <c r="H60" s="648" t="n">
        <v>785.877</v>
      </c>
      <c r="I60" s="648" t="n">
        <v>762.811</v>
      </c>
      <c r="J60" s="648" t="n">
        <v>809.247</v>
      </c>
      <c r="M60" s="645" t="inlineStr">
        <is>
          <t>X</t>
        </is>
      </c>
    </row>
    <row r="61" ht="13.5" customHeight="1">
      <c r="C61" s="111" t="inlineStr">
        <is>
          <t>Prepaid Expenses</t>
        </is>
      </c>
      <c r="D61" s="95" t="n"/>
      <c r="E61" s="95" t="n"/>
      <c r="F61" s="95" t="n"/>
      <c r="G61" s="648" t="n">
        <v>26.31</v>
      </c>
      <c r="H61" s="648" t="n">
        <v>33.872</v>
      </c>
      <c r="I61" s="648" t="n">
        <v>46.361</v>
      </c>
      <c r="J61" s="648" t="n">
        <v>44.959</v>
      </c>
      <c r="M61" s="645" t="inlineStr">
        <is>
          <t>X</t>
        </is>
      </c>
    </row>
    <row r="62" outlineLevel="1" ht="13.5" customHeight="1">
      <c r="C62" s="147" t="inlineStr">
        <is>
          <t>Inventories</t>
        </is>
      </c>
      <c r="D62" s="95" t="n"/>
      <c r="E62" s="95" t="n"/>
      <c r="F62" s="95" t="n"/>
      <c r="G62" s="648" t="n">
        <v>39.973</v>
      </c>
      <c r="H62" s="648" t="n">
        <v>43.639</v>
      </c>
      <c r="I62" s="648" t="n">
        <v>39.661</v>
      </c>
      <c r="J62" s="648" t="n">
        <v>51.382</v>
      </c>
      <c r="M62" s="645" t="inlineStr">
        <is>
          <t>X</t>
        </is>
      </c>
    </row>
    <row r="63" outlineLevel="1" ht="13.5" customHeight="1">
      <c r="C63" s="147" t="inlineStr">
        <is>
          <t>Vehicle pooling costs + income taxes receivable</t>
        </is>
      </c>
      <c r="D63" s="95" t="n"/>
      <c r="E63" s="95" t="n"/>
      <c r="F63" s="95" t="n"/>
      <c r="G63" s="648">
        <f>123.725+6.574</f>
        <v/>
      </c>
      <c r="H63" s="648">
        <f>132.638+0</f>
        <v/>
      </c>
      <c r="I63" s="648">
        <f>116.145+0.58</f>
        <v/>
      </c>
      <c r="J63" s="648">
        <f>122.948+49.856</f>
        <v/>
      </c>
      <c r="M63" s="645" t="inlineStr">
        <is>
          <t>X</t>
        </is>
      </c>
    </row>
    <row r="64" ht="13.9" customHeight="1">
      <c r="C64" s="124" t="inlineStr">
        <is>
          <t>Total Current Assets</t>
        </is>
      </c>
      <c r="D64" s="125" t="n"/>
      <c r="E64" s="125" t="n"/>
      <c r="F64" s="125" t="n"/>
      <c r="G64" s="663">
        <f>SUM(G59:G63)</f>
        <v/>
      </c>
      <c r="H64" s="663">
        <f>SUM(H59:H63)</f>
        <v/>
      </c>
      <c r="I64" s="663">
        <f>SUM(I59:I63)</f>
        <v/>
      </c>
      <c r="J64" s="663">
        <f>SUM(J59:J63)</f>
        <v/>
      </c>
      <c r="M64" s="645" t="inlineStr">
        <is>
          <t>X</t>
        </is>
      </c>
    </row>
    <row r="65" ht="13.5" customHeight="1">
      <c r="C65" s="95" t="n"/>
      <c r="D65" s="95" t="n"/>
      <c r="E65" s="95" t="n"/>
      <c r="F65" s="95" t="n"/>
      <c r="G65" s="95" t="n"/>
      <c r="H65" s="95" t="n"/>
      <c r="I65" s="95" t="n"/>
      <c r="J65" s="95" t="n"/>
      <c r="M65" s="645" t="inlineStr">
        <is>
          <t>X</t>
        </is>
      </c>
    </row>
    <row r="66" outlineLevel="1" ht="13.5" customHeight="1">
      <c r="C66" s="147" t="inlineStr">
        <is>
          <t>PP&amp;E, net (gross/accumulated split not loaded)</t>
        </is>
      </c>
      <c r="D66" s="95" t="n"/>
      <c r="E66" s="95" t="n"/>
      <c r="F66" s="95" t="n"/>
      <c r="G66" s="647" t="n">
        <v>2844.339</v>
      </c>
      <c r="H66" s="647" t="n">
        <v>3175.838</v>
      </c>
      <c r="I66" s="647" t="n">
        <v>3598.093</v>
      </c>
      <c r="J66" s="647" t="n">
        <v>3733.22</v>
      </c>
      <c r="M66" s="645" t="inlineStr">
        <is>
          <t>X</t>
        </is>
      </c>
    </row>
    <row r="67" outlineLevel="1" ht="13.5" customHeight="1">
      <c r="C67" s="147" t="inlineStr">
        <is>
          <t>(Accumulated Depreciation)</t>
        </is>
      </c>
      <c r="D67" s="95" t="n"/>
      <c r="E67" s="95" t="n"/>
      <c r="F67" s="95" t="n"/>
      <c r="G67" s="648" t="n">
        <v>0</v>
      </c>
      <c r="H67" s="648" t="n">
        <v>0</v>
      </c>
      <c r="I67" s="648" t="n">
        <v>0</v>
      </c>
      <c r="J67" s="648" t="n">
        <v>0</v>
      </c>
      <c r="M67" s="645" t="inlineStr">
        <is>
          <t>X</t>
        </is>
      </c>
    </row>
    <row r="68" outlineLevel="1" ht="13.9" customHeight="1">
      <c r="C68" s="127" t="inlineStr">
        <is>
          <t>Net PPE</t>
        </is>
      </c>
      <c r="D68" s="127" t="n"/>
      <c r="E68" s="127" t="n"/>
      <c r="F68" s="127" t="n"/>
      <c r="G68" s="664">
        <f>SUM(G66:G67)</f>
        <v/>
      </c>
      <c r="H68" s="664">
        <f>SUM(H66:H67)</f>
        <v/>
      </c>
      <c r="I68" s="664">
        <f>SUM(I66:I67)</f>
        <v/>
      </c>
      <c r="J68" s="664">
        <f>SUM(J66:J67)</f>
        <v/>
      </c>
      <c r="M68" s="645" t="inlineStr">
        <is>
          <t>X</t>
        </is>
      </c>
    </row>
    <row r="69" outlineLevel="1" ht="13.9" customHeight="1">
      <c r="C69" s="129" t="n"/>
      <c r="D69" s="129" t="n"/>
      <c r="E69" s="129" t="n"/>
      <c r="F69" s="129" t="n"/>
      <c r="G69" s="665" t="n"/>
      <c r="H69" s="665" t="n"/>
      <c r="I69" s="665" t="n"/>
      <c r="J69" s="665" t="n"/>
      <c r="M69" s="645" t="inlineStr">
        <is>
          <t>X</t>
        </is>
      </c>
    </row>
    <row r="70" ht="13.5" customHeight="1">
      <c r="C70" s="95" t="n"/>
      <c r="D70" s="95" t="n"/>
      <c r="E70" s="95" t="n"/>
      <c r="F70" s="95" t="n"/>
      <c r="G70" s="95" t="n"/>
      <c r="H70" s="95" t="n"/>
      <c r="I70" s="95" t="n"/>
      <c r="J70" s="95" t="n"/>
      <c r="M70" s="645" t="inlineStr">
        <is>
          <t>X</t>
        </is>
      </c>
    </row>
    <row r="71" ht="13.5" customHeight="1">
      <c r="C71" s="147" t="inlineStr">
        <is>
          <t>Goodwill + intangibles, net</t>
        </is>
      </c>
      <c r="D71" s="95" t="n"/>
      <c r="E71" s="95" t="n"/>
      <c r="F71" s="95" t="n"/>
      <c r="G71" s="647">
        <f>394.289+62.702</f>
        <v/>
      </c>
      <c r="H71" s="647">
        <f>513.909+74.088</f>
        <v/>
      </c>
      <c r="I71" s="647">
        <f>517.779+62.832</f>
        <v/>
      </c>
      <c r="J71" s="647">
        <f>511.297+50.477</f>
        <v/>
      </c>
      <c r="M71" s="645" t="inlineStr">
        <is>
          <t>X</t>
        </is>
      </c>
    </row>
    <row r="72" ht="13.5" customHeight="1">
      <c r="C72" s="147" t="inlineStr">
        <is>
          <t>(Accumulated Amortization)</t>
        </is>
      </c>
      <c r="D72" s="95" t="n"/>
      <c r="E72" s="95" t="n"/>
      <c r="F72" s="95" t="n"/>
      <c r="G72" s="648" t="n">
        <v>0</v>
      </c>
      <c r="H72" s="648" t="n">
        <v>0</v>
      </c>
      <c r="I72" s="648" t="n">
        <v>0</v>
      </c>
      <c r="J72" s="648" t="n">
        <v>0</v>
      </c>
      <c r="M72" s="645" t="inlineStr">
        <is>
          <t>X</t>
        </is>
      </c>
    </row>
    <row r="73" ht="13.9" customHeight="1">
      <c r="C73" s="127" t="inlineStr">
        <is>
          <t>Net Goodwill &amp; Intangibles</t>
        </is>
      </c>
      <c r="D73" s="127" t="n"/>
      <c r="E73" s="127" t="n"/>
      <c r="F73" s="127" t="n"/>
      <c r="G73" s="663">
        <f>SUM(G71:G72)</f>
        <v/>
      </c>
      <c r="H73" s="663">
        <f>SUM(H71:H72)</f>
        <v/>
      </c>
      <c r="I73" s="663">
        <f>SUM(I71:I72)</f>
        <v/>
      </c>
      <c r="J73" s="663">
        <f>SUM(J71:J72)</f>
        <v/>
      </c>
      <c r="M73" s="645" t="inlineStr">
        <is>
          <t>X</t>
        </is>
      </c>
    </row>
    <row r="74" ht="13.9" customHeight="1">
      <c r="C74" s="129" t="n"/>
      <c r="D74" s="129" t="n"/>
      <c r="E74" s="129" t="n"/>
      <c r="F74" s="129" t="n"/>
      <c r="G74" s="666" t="n"/>
      <c r="H74" s="666" t="n"/>
      <c r="I74" s="666" t="n"/>
      <c r="J74" s="666" t="n"/>
      <c r="M74" s="645" t="inlineStr">
        <is>
          <t>X</t>
        </is>
      </c>
    </row>
    <row r="75" ht="13.5" customHeight="1">
      <c r="C75" s="95" t="n"/>
      <c r="D75" s="95" t="n"/>
      <c r="E75" s="95" t="n"/>
      <c r="F75" s="95" t="n"/>
      <c r="G75" s="95" t="n"/>
      <c r="H75" s="95" t="n"/>
      <c r="I75" s="95" t="n"/>
      <c r="J75" s="95" t="n"/>
      <c r="M75" s="645" t="inlineStr">
        <is>
          <t>X</t>
        </is>
      </c>
    </row>
    <row r="76" outlineLevel="1" ht="13.5" customHeight="1">
      <c r="C76" s="132" t="inlineStr">
        <is>
          <t>Operating lease ROU assets + other assets</t>
        </is>
      </c>
      <c r="D76" s="95" t="n"/>
      <c r="E76" s="95" t="n"/>
      <c r="F76" s="95" t="n"/>
      <c r="G76" s="647">
        <f>108.139+65.806</f>
        <v/>
      </c>
      <c r="H76" s="647">
        <f>116.301+129.444</f>
        <v/>
      </c>
      <c r="I76" s="647">
        <f>99.708+57.862</f>
        <v/>
      </c>
      <c r="J76" s="647">
        <f>83.728+80.894</f>
        <v/>
      </c>
      <c r="M76" s="645" t="inlineStr">
        <is>
          <t>X</t>
        </is>
      </c>
    </row>
    <row r="77" outlineLevel="1" ht="13.9" customHeight="1">
      <c r="C77" s="133" t="n"/>
      <c r="D77" s="134" t="n"/>
      <c r="E77" s="134" t="n"/>
      <c r="F77" s="134" t="n"/>
      <c r="G77" s="135" t="n"/>
      <c r="H77" s="135" t="n"/>
      <c r="I77" s="135" t="n"/>
      <c r="J77" s="135" t="n"/>
      <c r="M77" s="645" t="inlineStr">
        <is>
          <t>X</t>
        </is>
      </c>
    </row>
    <row r="78" outlineLevel="1" ht="14.25" customHeight="1" thickBot="1">
      <c r="C78" s="136" t="inlineStr">
        <is>
          <t>Total Assets</t>
        </is>
      </c>
      <c r="D78" s="136" t="n"/>
      <c r="E78" s="136" t="n"/>
      <c r="F78" s="136" t="n"/>
      <c r="G78" s="667">
        <f>SUM(G76,G73,G68,G64)</f>
        <v/>
      </c>
      <c r="H78" s="667">
        <f>SUM(H76,H73,H68,H64)</f>
        <v/>
      </c>
      <c r="I78" s="667">
        <f>SUM(I76,I73,I68,I64)</f>
        <v/>
      </c>
      <c r="J78" s="667">
        <f>SUM(J76,J73,J68,J64)</f>
        <v/>
      </c>
      <c r="M78" s="645" t="inlineStr">
        <is>
          <t>X</t>
        </is>
      </c>
    </row>
    <row r="79" outlineLevel="1" ht="14.25" customHeight="1" thickTop="1">
      <c r="C79" s="133" t="n"/>
      <c r="D79" s="134" t="n"/>
      <c r="E79" s="134" t="n"/>
      <c r="F79" s="134" t="n"/>
      <c r="G79" s="135" t="n"/>
      <c r="H79" s="135" t="n"/>
      <c r="I79" s="135" t="n"/>
      <c r="J79" s="135" t="n"/>
      <c r="M79" s="645" t="inlineStr">
        <is>
          <t>X</t>
        </is>
      </c>
    </row>
    <row r="80" ht="13.9" customHeight="1">
      <c r="A80" s="79" t="inlineStr">
        <is>
          <t>X</t>
        </is>
      </c>
      <c r="C80" s="123" t="inlineStr">
        <is>
          <t>Liabilities</t>
        </is>
      </c>
      <c r="D80" s="95" t="n"/>
      <c r="E80" s="95" t="n"/>
      <c r="F80" s="95" t="n"/>
      <c r="G80" s="132" t="n"/>
      <c r="H80" s="132" t="n"/>
      <c r="I80" s="132" t="n"/>
      <c r="J80" s="132" t="n"/>
      <c r="M80" s="645" t="inlineStr">
        <is>
          <t>X</t>
        </is>
      </c>
    </row>
    <row r="81" ht="13.9" customHeight="1">
      <c r="C81" s="123" t="n"/>
      <c r="D81" s="95" t="n"/>
      <c r="E81" s="95" t="n"/>
      <c r="F81" s="95" t="n"/>
      <c r="G81" s="132" t="n"/>
      <c r="H81" s="132" t="n"/>
      <c r="I81" s="132" t="n"/>
      <c r="J81" s="132" t="n"/>
      <c r="M81" s="645" t="inlineStr">
        <is>
          <t>X</t>
        </is>
      </c>
    </row>
    <row r="82" ht="13.5" customHeight="1">
      <c r="C82" s="111" t="inlineStr">
        <is>
          <t>Accounts Payable</t>
        </is>
      </c>
      <c r="D82" s="95" t="n"/>
      <c r="E82" s="95" t="n"/>
      <c r="F82" s="95" t="n"/>
      <c r="G82" s="647" t="n">
        <v>440.81</v>
      </c>
      <c r="H82" s="647" t="n">
        <v>518.148</v>
      </c>
      <c r="I82" s="647" t="n">
        <v>591.831</v>
      </c>
      <c r="J82" s="647" t="n">
        <v>634.675</v>
      </c>
      <c r="M82" s="645" t="inlineStr">
        <is>
          <t>X</t>
        </is>
      </c>
    </row>
    <row r="83" ht="13.5" customHeight="1">
      <c r="C83" s="111" t="inlineStr">
        <is>
          <t>Accrued Expenses</t>
        </is>
      </c>
      <c r="D83" s="95" t="n"/>
      <c r="E83" s="95" t="n"/>
      <c r="F83" s="95" t="n"/>
      <c r="G83" s="648" t="n">
        <v>0</v>
      </c>
      <c r="H83" s="648" t="n">
        <v>0</v>
      </c>
      <c r="I83" s="648" t="n">
        <v>0</v>
      </c>
      <c r="J83" s="648" t="n">
        <v>0</v>
      </c>
      <c r="M83" s="645" t="inlineStr">
        <is>
          <t>X</t>
        </is>
      </c>
    </row>
    <row r="84" outlineLevel="1" ht="13.5" customHeight="1">
      <c r="C84" s="147" t="inlineStr">
        <is>
          <t>Deferred Revenue</t>
        </is>
      </c>
      <c r="D84" s="95" t="n"/>
      <c r="E84" s="95" t="n"/>
      <c r="F84" s="95" t="n"/>
      <c r="G84" s="648" t="n">
        <v>26.117</v>
      </c>
      <c r="H84" s="648" t="n">
        <v>28.121</v>
      </c>
      <c r="I84" s="648" t="n">
        <v>30.44</v>
      </c>
      <c r="J84" s="648" t="n">
        <v>32.466</v>
      </c>
      <c r="M84" s="645" t="inlineStr">
        <is>
          <t>X</t>
        </is>
      </c>
    </row>
    <row r="85" outlineLevel="1" ht="13.5" customHeight="1">
      <c r="C85" s="147" t="inlineStr">
        <is>
          <t>Income taxes payable (current) + current lease liabilities</t>
        </is>
      </c>
      <c r="D85" s="95" t="n"/>
      <c r="E85" s="95" t="n"/>
      <c r="F85" s="95" t="n"/>
      <c r="G85" s="648">
        <f>4.374+21.468</f>
        <v/>
      </c>
      <c r="H85" s="648">
        <f>60.994+21.304</f>
        <v/>
      </c>
      <c r="I85" s="648">
        <f>41.141+19.869</f>
        <v/>
      </c>
      <c r="J85" s="648">
        <f>21.437+15.163</f>
        <v/>
      </c>
      <c r="M85" s="645" t="inlineStr">
        <is>
          <t>X</t>
        </is>
      </c>
    </row>
    <row r="86" ht="13.9" customHeight="1">
      <c r="C86" s="127" t="inlineStr">
        <is>
          <t>Total Current Liabilities</t>
        </is>
      </c>
      <c r="D86" s="125" t="n"/>
      <c r="E86" s="125" t="n"/>
      <c r="F86" s="125" t="n"/>
      <c r="G86" s="663">
        <f>SUM(G82:G85)</f>
        <v/>
      </c>
      <c r="H86" s="663">
        <f>SUM(H82:H85)</f>
        <v/>
      </c>
      <c r="I86" s="663">
        <f>SUM(I82:I85)</f>
        <v/>
      </c>
      <c r="J86" s="663">
        <f>SUM(J82:J85)</f>
        <v/>
      </c>
      <c r="M86" s="645" t="inlineStr">
        <is>
          <t>X</t>
        </is>
      </c>
    </row>
    <row r="87" ht="13.9" customHeight="1">
      <c r="C87" s="138" t="n"/>
      <c r="D87" s="134" t="n"/>
      <c r="E87" s="134" t="n"/>
      <c r="F87" s="134" t="n"/>
      <c r="G87" s="668" t="n"/>
      <c r="H87" s="668" t="n"/>
      <c r="I87" s="668" t="n"/>
      <c r="J87" s="668" t="n"/>
      <c r="M87" s="645" t="inlineStr">
        <is>
          <t>X</t>
        </is>
      </c>
    </row>
    <row r="88" outlineLevel="1" ht="13.5" customHeight="1">
      <c r="C88" s="147" t="inlineStr">
        <is>
          <t>Revolver</t>
        </is>
      </c>
      <c r="D88" s="95" t="n"/>
      <c r="E88" s="95" t="n"/>
      <c r="F88" s="95" t="n"/>
      <c r="G88" s="647" t="n">
        <v>10.903</v>
      </c>
      <c r="H88" s="647" t="n">
        <v>0</v>
      </c>
      <c r="I88" s="647" t="n">
        <v>0</v>
      </c>
      <c r="J88" s="647" t="n">
        <v>0</v>
      </c>
      <c r="M88" s="645" t="inlineStr">
        <is>
          <t>X</t>
        </is>
      </c>
    </row>
    <row r="89" outlineLevel="1" ht="13.5" customHeight="1">
      <c r="C89" s="147" t="inlineStr">
        <is>
          <t>Term Loan</t>
        </is>
      </c>
      <c r="D89" s="95" t="n"/>
      <c r="E89" s="95" t="n"/>
      <c r="F89" s="95" t="n"/>
      <c r="G89" s="648" t="n">
        <v>0</v>
      </c>
      <c r="H89" s="648" t="n">
        <v>0</v>
      </c>
      <c r="I89" s="648" t="n">
        <v>0</v>
      </c>
      <c r="J89" s="648" t="n">
        <v>0</v>
      </c>
      <c r="M89" s="645" t="inlineStr">
        <is>
          <t>X</t>
        </is>
      </c>
    </row>
    <row r="90" ht="13.5" customHeight="1">
      <c r="C90" s="147" t="inlineStr">
        <is>
          <t>Deferred taxes, LT taxes payable, non-current leases, redeemable NCI</t>
        </is>
      </c>
      <c r="D90" s="95" t="n"/>
      <c r="E90" s="95" t="n"/>
      <c r="F90" s="95" t="n"/>
      <c r="G90" s="648">
        <f>89.492+69.193+88.082</f>
        <v/>
      </c>
      <c r="H90" s="648">
        <f>93.653+59.56+97.429+24.544</f>
        <v/>
      </c>
      <c r="I90" s="648">
        <f>80.625+35.635+83.87+20.458</f>
        <v/>
      </c>
      <c r="J90" s="648">
        <f>127.918+9.067+73.204+16.585</f>
        <v/>
      </c>
      <c r="M90" s="645" t="inlineStr">
        <is>
          <t>X</t>
        </is>
      </c>
    </row>
    <row r="91" ht="13.9" customHeight="1">
      <c r="C91" s="127" t="inlineStr">
        <is>
          <t>Total Liabilities</t>
        </is>
      </c>
      <c r="D91" s="125" t="n"/>
      <c r="E91" s="125" t="n"/>
      <c r="F91" s="125" t="n"/>
      <c r="G91" s="663">
        <f>SUM(G88:G90,G86)</f>
        <v/>
      </c>
      <c r="H91" s="663">
        <f>SUM(H88:H90,H86)</f>
        <v/>
      </c>
      <c r="I91" s="663">
        <f>SUM(I88:I90,I86)</f>
        <v/>
      </c>
      <c r="J91" s="663">
        <f>SUM(J88:J90,J86)</f>
        <v/>
      </c>
      <c r="M91" s="645" t="inlineStr">
        <is>
          <t>X</t>
        </is>
      </c>
    </row>
    <row r="92" ht="13.5" customHeight="1">
      <c r="C92" s="95" t="n"/>
      <c r="D92" s="95" t="n"/>
      <c r="E92" s="95" t="n"/>
      <c r="F92" s="95" t="n"/>
      <c r="G92" s="669" t="n"/>
      <c r="H92" s="669" t="n"/>
      <c r="I92" s="669" t="n"/>
      <c r="J92" s="669" t="n"/>
      <c r="M92" s="645" t="inlineStr">
        <is>
          <t>X</t>
        </is>
      </c>
    </row>
    <row r="93" ht="13.9" customHeight="1">
      <c r="A93" s="79" t="inlineStr">
        <is>
          <t>X</t>
        </is>
      </c>
      <c r="C93" s="123" t="inlineStr">
        <is>
          <t>Equity</t>
        </is>
      </c>
      <c r="D93" s="95" t="n"/>
      <c r="E93" s="95" t="n"/>
      <c r="F93" s="95" t="n"/>
      <c r="G93" s="132" t="n"/>
      <c r="H93" s="132" t="n"/>
      <c r="I93" s="132" t="n"/>
      <c r="J93" s="132" t="n"/>
      <c r="M93" s="645" t="inlineStr">
        <is>
          <t>X</t>
        </is>
      </c>
    </row>
    <row r="94" ht="13.5" customHeight="1">
      <c r="C94" s="95" t="n"/>
      <c r="D94" s="95" t="n"/>
      <c r="E94" s="95" t="n"/>
      <c r="F94" s="95" t="n"/>
      <c r="G94" s="669" t="n"/>
      <c r="H94" s="669" t="n"/>
      <c r="I94" s="669" t="n"/>
      <c r="J94" s="669" t="n"/>
      <c r="M94" s="645" t="inlineStr">
        <is>
          <t>X</t>
        </is>
      </c>
    </row>
    <row r="95" ht="13.5" customHeight="1">
      <c r="C95" s="147" t="inlineStr">
        <is>
          <t>Retained Earnings</t>
        </is>
      </c>
      <c r="D95" s="95" t="n"/>
      <c r="E95" s="95" t="n"/>
      <c r="F95" s="95" t="n"/>
      <c r="G95" s="647" t="n">
        <v>5189.44</v>
      </c>
      <c r="H95" s="647" t="n">
        <v>6545.902</v>
      </c>
      <c r="I95" s="647" t="n">
        <v>8093.069</v>
      </c>
      <c r="J95" s="647" t="n">
        <v>7980.626</v>
      </c>
      <c r="M95" s="645" t="inlineStr">
        <is>
          <t>X</t>
        </is>
      </c>
    </row>
    <row r="96" ht="13.5" customHeight="1">
      <c r="C96" s="147" t="inlineStr">
        <is>
          <t>Common stock + APIC</t>
        </is>
      </c>
      <c r="D96" s="95" t="n"/>
      <c r="E96" s="95" t="n"/>
      <c r="F96" s="95" t="n"/>
      <c r="G96" s="648">
        <f>0.096+938.91</f>
        <v/>
      </c>
      <c r="H96" s="648">
        <f>0.096+1120.985</f>
        <v/>
      </c>
      <c r="I96" s="648">
        <f>0.097+1214.15</f>
        <v/>
      </c>
      <c r="J96" s="648">
        <f>0.093+1226.354</f>
        <v/>
      </c>
      <c r="M96" s="645" t="inlineStr">
        <is>
          <t>X</t>
        </is>
      </c>
    </row>
    <row r="97" ht="13.5" customHeight="1">
      <c r="C97" s="147" t="inlineStr">
        <is>
          <t>Accumulated other comprehensive loss</t>
        </is>
      </c>
      <c r="D97" s="95" t="n"/>
      <c r="E97" s="95" t="n"/>
      <c r="F97" s="95" t="n"/>
      <c r="G97" s="648" t="n">
        <v>-141.006</v>
      </c>
      <c r="H97" s="648" t="n">
        <v>-142.972</v>
      </c>
      <c r="I97" s="648" t="n">
        <v>-120.283</v>
      </c>
      <c r="J97" s="648" t="n">
        <v>-109.778</v>
      </c>
      <c r="M97" s="645" t="inlineStr">
        <is>
          <t>X</t>
        </is>
      </c>
    </row>
    <row r="98" ht="13.9" customHeight="1">
      <c r="C98" s="127" t="inlineStr">
        <is>
          <t>Total Equity</t>
        </is>
      </c>
      <c r="D98" s="125" t="n"/>
      <c r="E98" s="125" t="n"/>
      <c r="F98" s="125" t="n"/>
      <c r="G98" s="663">
        <f>SUM(G95:G97)</f>
        <v/>
      </c>
      <c r="H98" s="663">
        <f>SUM(H95:H97)</f>
        <v/>
      </c>
      <c r="I98" s="663">
        <f>SUM(I95:I97)</f>
        <v/>
      </c>
      <c r="J98" s="663">
        <f>SUM(J95:J97)</f>
        <v/>
      </c>
      <c r="M98" s="645" t="inlineStr">
        <is>
          <t>X</t>
        </is>
      </c>
    </row>
    <row r="99" ht="13.5" customHeight="1">
      <c r="C99" s="111" t="n"/>
      <c r="D99" s="95" t="n"/>
      <c r="E99" s="95" t="n"/>
      <c r="F99" s="95" t="n"/>
      <c r="G99" s="670" t="n"/>
      <c r="H99" s="670" t="n"/>
      <c r="I99" s="670" t="n"/>
      <c r="J99" s="670" t="n"/>
      <c r="M99" s="645" t="inlineStr">
        <is>
          <t>X</t>
        </is>
      </c>
    </row>
    <row r="100" ht="14.25" customHeight="1" thickBot="1">
      <c r="C100" s="142" t="inlineStr">
        <is>
          <t>Total Liabilities &amp; Equity</t>
        </is>
      </c>
      <c r="D100" s="136" t="n"/>
      <c r="E100" s="136" t="n"/>
      <c r="F100" s="136" t="n"/>
      <c r="G100" s="667">
        <f>SUM(G98,G91)</f>
        <v/>
      </c>
      <c r="H100" s="667">
        <f>SUM(H98,H91)</f>
        <v/>
      </c>
      <c r="I100" s="667">
        <f>SUM(I98,I91)</f>
        <v/>
      </c>
      <c r="J100" s="667">
        <f>SUM(J98,J91)</f>
        <v/>
      </c>
      <c r="M100" s="645" t="inlineStr">
        <is>
          <t>X</t>
        </is>
      </c>
    </row>
    <row r="101" ht="13.9" customHeight="1" thickTop="1">
      <c r="C101" s="111" t="n"/>
      <c r="D101" s="95" t="n"/>
      <c r="E101" s="95" t="n"/>
      <c r="F101" s="95" t="n"/>
      <c r="G101" s="670" t="n"/>
      <c r="H101" s="670" t="n"/>
      <c r="I101" s="670" t="n"/>
      <c r="J101" s="670" t="n"/>
      <c r="M101" s="645" t="inlineStr">
        <is>
          <t>X</t>
        </is>
      </c>
    </row>
    <row r="102" ht="13.9" customHeight="1">
      <c r="C102" s="143" t="inlineStr">
        <is>
          <t>Check</t>
        </is>
      </c>
      <c r="D102" s="144" t="n"/>
      <c r="E102" s="144" t="n"/>
      <c r="F102" s="144" t="n"/>
      <c r="G102" s="671">
        <f>+G78-G100</f>
        <v/>
      </c>
      <c r="H102" s="671">
        <f>+H78-H100</f>
        <v/>
      </c>
      <c r="I102" s="671">
        <f>+I78-I100</f>
        <v/>
      </c>
      <c r="J102" s="672">
        <f>+J78-J100</f>
        <v/>
      </c>
      <c r="M102" s="645" t="inlineStr">
        <is>
          <t>X</t>
        </is>
      </c>
    </row>
    <row r="103" ht="13.9" customHeight="1" thickBot="1">
      <c r="C103" s="111" t="n"/>
      <c r="D103" s="95" t="n"/>
      <c r="E103" s="95" t="n"/>
      <c r="F103" s="95" t="n"/>
      <c r="G103" s="669" t="n"/>
      <c r="H103" s="669" t="n"/>
      <c r="I103" s="669" t="n"/>
      <c r="J103" s="669" t="n"/>
      <c r="M103" s="645" t="inlineStr">
        <is>
          <t>X</t>
        </is>
      </c>
    </row>
    <row r="104" ht="30" customHeight="1" thickBot="1">
      <c r="A104" s="79" t="inlineStr">
        <is>
          <t>X</t>
        </is>
      </c>
      <c r="C104" s="121" t="inlineStr">
        <is>
          <t>Cash Flow Statement</t>
        </is>
      </c>
      <c r="D104" s="122" t="n"/>
      <c r="E104" s="122" t="n"/>
      <c r="F104" s="122" t="n"/>
      <c r="G104" s="122" t="n"/>
      <c r="H104" s="122" t="n"/>
      <c r="I104" s="122" t="n"/>
      <c r="J104" s="122" t="n"/>
      <c r="M104" s="645" t="inlineStr">
        <is>
          <t>X</t>
        </is>
      </c>
    </row>
    <row r="105" ht="13.5" customHeight="1">
      <c r="C105" s="111" t="n"/>
      <c r="D105" s="95" t="n"/>
      <c r="E105" s="95" t="n"/>
      <c r="F105" s="95" t="n"/>
      <c r="G105" s="669" t="n"/>
      <c r="H105" s="669" t="n"/>
      <c r="I105" s="669" t="n"/>
      <c r="J105" s="669" t="n"/>
      <c r="M105" s="645" t="inlineStr">
        <is>
          <t>X</t>
        </is>
      </c>
    </row>
    <row r="106" ht="13.5" customHeight="1">
      <c r="C106" s="147" t="inlineStr">
        <is>
          <t>Stock-Based Compensation</t>
        </is>
      </c>
      <c r="D106" s="97" t="n"/>
      <c r="E106" s="97" t="n"/>
      <c r="F106" s="97" t="n"/>
      <c r="G106" s="647" t="n">
        <v>39.673</v>
      </c>
      <c r="H106" s="647" t="n">
        <v>35.234</v>
      </c>
      <c r="I106" s="647" t="n">
        <v>38.004</v>
      </c>
      <c r="J106" s="647" t="n">
        <v>38.818</v>
      </c>
      <c r="M106" s="645" t="inlineStr">
        <is>
          <t>X</t>
        </is>
      </c>
    </row>
    <row r="107">
      <c r="C107" s="110" t="n"/>
      <c r="D107" s="106" t="n"/>
      <c r="E107" s="106" t="n"/>
      <c r="F107" s="106" t="n"/>
      <c r="G107" s="114" t="n"/>
      <c r="H107" s="114" t="n"/>
      <c r="I107" s="114" t="n"/>
      <c r="J107" s="114" t="n"/>
      <c r="M107" s="645" t="n"/>
    </row>
    <row r="108" ht="13.5" customHeight="1">
      <c r="C108" s="148" t="inlineStr">
        <is>
          <t>Capex</t>
        </is>
      </c>
      <c r="D108" s="97" t="n"/>
      <c r="E108" s="97" t="n"/>
      <c r="F108" s="97" t="n"/>
      <c r="G108" s="97" t="n"/>
      <c r="H108" s="97" t="n"/>
      <c r="I108" s="97" t="n"/>
      <c r="J108" s="97" t="n"/>
      <c r="M108" s="645" t="inlineStr">
        <is>
          <t>X</t>
        </is>
      </c>
    </row>
    <row r="109" ht="14.25" customHeight="1">
      <c r="C109" s="147" t="inlineStr">
        <is>
          <t>(Purchases of property and equipment)</t>
        </is>
      </c>
      <c r="D109" s="97" t="n"/>
      <c r="E109" s="97" t="n"/>
      <c r="F109" s="97" t="n"/>
      <c r="G109" s="647" t="n">
        <v>-516.636</v>
      </c>
      <c r="H109" s="647" t="n">
        <v>-510.99</v>
      </c>
      <c r="I109" s="647" t="n">
        <v>-568.99</v>
      </c>
      <c r="J109" s="647" t="n">
        <v>-337.363</v>
      </c>
      <c r="M109" s="645" t="inlineStr">
        <is>
          <t>X</t>
        </is>
      </c>
    </row>
    <row r="110" outlineLevel="1" ht="14.25" customHeight="1">
      <c r="C110" s="147" t="inlineStr">
        <is>
          <t>Proceeds from sale of property and equipment</t>
        </is>
      </c>
      <c r="D110" s="97" t="n"/>
      <c r="E110" s="97" t="n"/>
      <c r="F110" s="97" t="n"/>
      <c r="G110" s="648" t="n">
        <v>33.919</v>
      </c>
      <c r="H110" s="648" t="n">
        <v>4.166</v>
      </c>
      <c r="I110" s="648" t="n">
        <v>31.831</v>
      </c>
      <c r="J110" s="648" t="n">
        <v>12.575</v>
      </c>
      <c r="M110" s="645" t="inlineStr">
        <is>
          <t>X</t>
        </is>
      </c>
    </row>
    <row r="111" outlineLevel="1" ht="14.25" customHeight="1">
      <c r="C111" s="147" t="inlineStr">
        <is>
          <t>(Capex) / Sale of Assets 3</t>
        </is>
      </c>
      <c r="D111" s="97" t="n"/>
      <c r="E111" s="97" t="n"/>
      <c r="F111" s="97" t="n"/>
      <c r="G111" s="648" t="n">
        <v>0</v>
      </c>
      <c r="H111" s="648" t="n">
        <v>0</v>
      </c>
      <c r="I111" s="648" t="n">
        <v>0</v>
      </c>
      <c r="J111" s="648" t="n">
        <v>0</v>
      </c>
      <c r="M111" s="645" t="inlineStr">
        <is>
          <t>X</t>
        </is>
      </c>
    </row>
    <row r="112" ht="13.9" customHeight="1">
      <c r="C112" s="99" t="inlineStr">
        <is>
          <t>(Capex) / Sale of Assets</t>
        </is>
      </c>
      <c r="D112" s="100" t="n"/>
      <c r="E112" s="100" t="n"/>
      <c r="F112" s="100" t="n"/>
      <c r="G112" s="663">
        <f>SUM(G109:G111)</f>
        <v/>
      </c>
      <c r="H112" s="663">
        <f>SUM(H109:H111)</f>
        <v/>
      </c>
      <c r="I112" s="663">
        <f>SUM(I109:I111)</f>
        <v/>
      </c>
      <c r="J112" s="663">
        <f>SUM(J109:J111)</f>
        <v/>
      </c>
      <c r="M112" s="645" t="inlineStr">
        <is>
          <t>X</t>
        </is>
      </c>
    </row>
    <row r="113">
      <c r="C113" s="110" t="n"/>
      <c r="D113" s="106" t="n"/>
      <c r="E113" s="106" t="n"/>
      <c r="F113" s="106" t="n"/>
      <c r="G113" s="149" t="n"/>
      <c r="H113" s="114" t="n"/>
      <c r="I113" s="114" t="n"/>
      <c r="J113" s="114" t="n"/>
      <c r="M113" s="645" t="inlineStr">
        <is>
          <t>X</t>
        </is>
      </c>
    </row>
    <row r="114" ht="13.5" customHeight="1">
      <c r="C114" s="148" t="inlineStr">
        <is>
          <t>Acquisitions</t>
        </is>
      </c>
      <c r="D114" s="97" t="n"/>
      <c r="E114" s="97" t="n"/>
      <c r="F114" s="97" t="n"/>
      <c r="G114" s="97" t="n"/>
      <c r="H114" s="97" t="n"/>
      <c r="I114" s="97" t="n"/>
      <c r="J114" s="97" t="n"/>
      <c r="M114" s="645" t="inlineStr">
        <is>
          <t>X</t>
        </is>
      </c>
    </row>
    <row r="115" ht="14.25" customHeight="1">
      <c r="C115" s="147" t="inlineStr">
        <is>
          <t>(Acquisitions), net of cash acquired</t>
        </is>
      </c>
      <c r="D115" s="97" t="n"/>
      <c r="E115" s="97" t="n"/>
      <c r="F115" s="97" t="n"/>
      <c r="G115" s="647" t="n">
        <v>0</v>
      </c>
      <c r="H115" s="647" t="n">
        <v>17.662</v>
      </c>
      <c r="I115" s="647" t="n">
        <v>-1.223</v>
      </c>
      <c r="J115" s="647" t="n">
        <v>-5.004</v>
      </c>
      <c r="M115" s="645" t="inlineStr">
        <is>
          <t>X</t>
        </is>
      </c>
    </row>
    <row r="116" outlineLevel="1" ht="14.25" customHeight="1">
      <c r="C116" s="147" t="inlineStr">
        <is>
          <t>(Investment in unconsolidated affiliates)</t>
        </is>
      </c>
      <c r="D116" s="97" t="n"/>
      <c r="E116" s="97" t="n"/>
      <c r="F116" s="97" t="n"/>
      <c r="G116" s="648" t="n">
        <v>-2.744</v>
      </c>
      <c r="H116" s="648" t="n">
        <v>-8.755000000000001</v>
      </c>
      <c r="I116" s="648" t="n">
        <v>-7.148</v>
      </c>
      <c r="J116" s="648" t="n">
        <v>-3.737</v>
      </c>
      <c r="M116" s="645" t="inlineStr">
        <is>
          <t>X</t>
        </is>
      </c>
    </row>
    <row r="117" outlineLevel="1" ht="14.25" customHeight="1">
      <c r="C117" s="147" t="inlineStr">
        <is>
          <t>(Acquisitions) / Divestitures 3</t>
        </is>
      </c>
      <c r="D117" s="97" t="n"/>
      <c r="E117" s="97" t="n"/>
      <c r="F117" s="97" t="n"/>
      <c r="G117" s="648" t="n">
        <v>0</v>
      </c>
      <c r="H117" s="648" t="n">
        <v>0</v>
      </c>
      <c r="I117" s="648" t="n">
        <v>0</v>
      </c>
      <c r="J117" s="648" t="n">
        <v>0</v>
      </c>
      <c r="M117" s="645" t="inlineStr">
        <is>
          <t>X</t>
        </is>
      </c>
    </row>
    <row r="118" ht="13.9" customHeight="1">
      <c r="C118" s="99" t="inlineStr">
        <is>
          <t>(Acquisitions) / Divestitures</t>
        </is>
      </c>
      <c r="D118" s="100" t="n"/>
      <c r="E118" s="100" t="n"/>
      <c r="F118" s="100" t="n"/>
      <c r="G118" s="663">
        <f>SUM(G115:G117)</f>
        <v/>
      </c>
      <c r="H118" s="663">
        <f>SUM(H115:H117)</f>
        <v/>
      </c>
      <c r="I118" s="663">
        <f>SUM(I115:I117)</f>
        <v/>
      </c>
      <c r="J118" s="663">
        <f>SUM(J115:J117)</f>
        <v/>
      </c>
      <c r="M118" s="645" t="inlineStr">
        <is>
          <t>X</t>
        </is>
      </c>
    </row>
    <row r="119">
      <c r="C119" s="110" t="n"/>
      <c r="D119" s="106" t="n"/>
      <c r="E119" s="106" t="n"/>
      <c r="F119" s="106" t="n"/>
      <c r="G119" s="149" t="n"/>
      <c r="H119" s="114" t="n"/>
      <c r="I119" s="114" t="n"/>
      <c r="J119" s="114" t="n"/>
      <c r="M119" s="645" t="inlineStr">
        <is>
          <t>X</t>
        </is>
      </c>
    </row>
    <row r="120" ht="13.5" customHeight="1">
      <c r="C120" s="147" t="inlineStr">
        <is>
          <t>Equity Raised / (Share Buybacks)</t>
        </is>
      </c>
      <c r="D120" s="95" t="n"/>
      <c r="E120" s="95" t="n"/>
      <c r="F120" s="95" t="n"/>
      <c r="G120" s="647" t="n">
        <v>0</v>
      </c>
      <c r="H120" s="647" t="n">
        <v>0</v>
      </c>
      <c r="I120" s="647" t="n">
        <v>0</v>
      </c>
      <c r="J120" s="647" t="n">
        <v>-1632.538</v>
      </c>
      <c r="M120" s="645" t="inlineStr">
        <is>
          <t>X</t>
        </is>
      </c>
    </row>
    <row r="121" ht="13.5" customHeight="1">
      <c r="C121" s="147" t="inlineStr">
        <is>
          <t>Share Buybacks</t>
        </is>
      </c>
      <c r="D121" s="95" t="n"/>
      <c r="E121" s="95" t="n"/>
      <c r="F121" s="95" t="n"/>
      <c r="G121" s="648" t="n">
        <v>0</v>
      </c>
      <c r="H121" s="648" t="n">
        <v>0</v>
      </c>
      <c r="I121" s="648" t="n">
        <v>0</v>
      </c>
      <c r="J121" s="648" t="n">
        <v>0</v>
      </c>
      <c r="M121" s="645" t="inlineStr">
        <is>
          <t>X</t>
        </is>
      </c>
    </row>
    <row r="122" ht="13.5" customHeight="1">
      <c r="A122" s="79" t="inlineStr">
        <is>
          <t>X</t>
        </is>
      </c>
      <c r="C122" s="147" t="inlineStr">
        <is>
          <t>(Dividends)</t>
        </is>
      </c>
      <c r="D122" s="95" t="n"/>
      <c r="E122" s="95" t="n"/>
      <c r="F122" s="95" t="n"/>
      <c r="G122" s="648" t="n">
        <v>0</v>
      </c>
      <c r="H122" s="648" t="n">
        <v>0</v>
      </c>
      <c r="I122" s="648" t="n">
        <v>0</v>
      </c>
      <c r="J122" s="648" t="n">
        <v>0</v>
      </c>
      <c r="M122" s="645" t="inlineStr">
        <is>
          <t>X</t>
        </is>
      </c>
    </row>
    <row r="123" ht="13.9" customHeight="1">
      <c r="C123" s="102" t="n"/>
      <c r="D123" s="103" t="n"/>
      <c r="E123" s="103" t="n"/>
      <c r="F123" s="103" t="n"/>
      <c r="G123" s="650" t="n"/>
      <c r="H123" s="650" t="n"/>
      <c r="I123" s="650" t="n"/>
      <c r="J123" s="650" t="n"/>
      <c r="M123" s="645" t="inlineStr">
        <is>
          <t>X</t>
        </is>
      </c>
    </row>
    <row r="124" ht="13.9" customHeight="1">
      <c r="C124" s="102" t="n"/>
      <c r="D124" s="103" t="n"/>
      <c r="E124" s="103" t="n"/>
      <c r="F124" s="103" t="n"/>
      <c r="G124" s="650" t="n"/>
      <c r="H124" s="650" t="n"/>
      <c r="I124" s="650" t="n"/>
      <c r="J124" s="650" t="n"/>
      <c r="M124" s="645" t="inlineStr">
        <is>
          <t>X</t>
        </is>
      </c>
    </row>
    <row r="125" ht="13.9" customHeight="1">
      <c r="C125" s="102" t="n"/>
      <c r="D125" s="103" t="n"/>
      <c r="E125" s="103" t="n"/>
      <c r="F125" s="103" t="n"/>
      <c r="G125" s="650" t="n"/>
      <c r="H125" s="650" t="n"/>
      <c r="I125" s="650" t="n"/>
      <c r="J125" s="650" t="n"/>
      <c r="M125" s="645" t="inlineStr">
        <is>
          <t>X</t>
        </is>
      </c>
    </row>
    <row r="126" hidden="1">
      <c r="B126" s="645" t="inlineStr">
        <is>
          <t>X</t>
        </is>
      </c>
      <c r="C126" s="645" t="inlineStr">
        <is>
          <t>X</t>
        </is>
      </c>
      <c r="D126" s="645" t="inlineStr">
        <is>
          <t>X</t>
        </is>
      </c>
      <c r="E126" s="645" t="inlineStr">
        <is>
          <t>X</t>
        </is>
      </c>
      <c r="F126" s="645" t="inlineStr">
        <is>
          <t>X</t>
        </is>
      </c>
      <c r="G126" s="645" t="inlineStr">
        <is>
          <t>X</t>
        </is>
      </c>
      <c r="H126" s="645" t="inlineStr">
        <is>
          <t>X</t>
        </is>
      </c>
      <c r="I126" s="645" t="inlineStr">
        <is>
          <t>X</t>
        </is>
      </c>
      <c r="J126" s="645" t="inlineStr">
        <is>
          <t>X</t>
        </is>
      </c>
      <c r="K126" s="645" t="inlineStr">
        <is>
          <t>X</t>
        </is>
      </c>
      <c r="L126" s="645" t="inlineStr">
        <is>
          <t>X</t>
        </is>
      </c>
      <c r="M126" s="645" t="inlineStr">
        <is>
          <t>X</t>
        </is>
      </c>
    </row>
  </sheetData>
  <pageMargins left="0.7" right="0.7" top="0.75" bottom="0.75" header="0.3" footer="0.3"/>
  <pageSetup orientation="portrait" scale="18"/>
</worksheet>
</file>

<file path=xl/worksheets/sheet10.xml><?xml version="1.0" encoding="utf-8"?>
<worksheet xmlns="http://schemas.openxmlformats.org/spreadsheetml/2006/main">
  <sheetPr>
    <tabColor theme="0" tint="-0.0499893185216834"/>
    <outlinePr summaryBelow="1" summaryRight="1"/>
    <pageSetUpPr/>
  </sheetPr>
  <dimension ref="A1:T142"/>
  <sheetViews>
    <sheetView showGridLines="0" view="pageBreakPreview" zoomScale="70" zoomScaleNormal="100" zoomScaleSheetLayoutView="70" workbookViewId="0">
      <selection activeCell="A1" sqref="A1"/>
    </sheetView>
  </sheetViews>
  <sheetFormatPr baseColWidth="8" defaultColWidth="0" defaultRowHeight="13.5" zeroHeight="1" outlineLevelRow="1"/>
  <cols>
    <col width="1.59765625" customWidth="1" style="216" min="1" max="1"/>
    <col width="1.59765625" customWidth="1" style="8" min="2" max="2"/>
    <col width="9.19921875" customWidth="1" style="8" min="3" max="6"/>
    <col width="10.59765625" customWidth="1" style="8" min="7" max="13"/>
    <col outlineLevel="1" width="10.59765625" customWidth="1" style="8" min="14" max="20"/>
    <col outlineLevel="1" width="1.59765625" customWidth="1" min="21" max="21"/>
    <col width="1.59765625" customWidth="1" style="8" min="22" max="22"/>
    <col hidden="1" width="9.19921875" customWidth="1" style="8" min="23" max="23"/>
    <col hidden="1" width="9.19921875" customWidth="1" style="8" min="24" max="16384"/>
  </cols>
  <sheetData>
    <row r="1" ht="15" customHeight="1">
      <c r="D1" s="673" t="n"/>
      <c r="K1" s="218">
        <f>YEAR('Historical Financials'!J1)+1</f>
        <v/>
      </c>
      <c r="L1" s="191">
        <f>K1+1</f>
        <v/>
      </c>
      <c r="M1" s="191">
        <f>L1+1</f>
        <v/>
      </c>
      <c r="N1" s="191">
        <f>M1+1</f>
        <v/>
      </c>
      <c r="O1" s="191">
        <f>N1+1</f>
        <v/>
      </c>
      <c r="P1" s="191">
        <f>O1+1</f>
        <v/>
      </c>
      <c r="Q1" s="191">
        <f>P1+1</f>
        <v/>
      </c>
      <c r="R1" s="191">
        <f>Q1+1</f>
        <v/>
      </c>
      <c r="S1" s="191">
        <f>R1+1</f>
        <v/>
      </c>
      <c r="T1" s="191">
        <f>S1+1</f>
        <v/>
      </c>
    </row>
    <row r="2" ht="15" customHeight="1"/>
    <row r="3" ht="14.55" customHeight="1">
      <c r="C3" s="210">
        <f>Assumptions!G5</f>
        <v/>
      </c>
      <c r="D3" s="54" t="n"/>
      <c r="E3" s="54" t="n"/>
      <c r="F3" s="54" t="n"/>
      <c r="G3" s="54" t="n"/>
      <c r="H3" s="54" t="n"/>
      <c r="I3" s="54" t="n"/>
      <c r="J3" s="55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5" t="n"/>
    </row>
    <row r="4" ht="14.55" customHeight="1">
      <c r="A4" s="7" t="inlineStr">
        <is>
          <t>X</t>
        </is>
      </c>
      <c r="C4" s="210" t="inlineStr">
        <is>
          <t>Income Statement</t>
        </is>
      </c>
      <c r="D4" s="54" t="n"/>
      <c r="E4" s="54" t="n"/>
      <c r="F4" s="54" t="n"/>
      <c r="G4" s="54" t="n"/>
      <c r="H4" s="54" t="n"/>
      <c r="I4" s="54" t="n"/>
      <c r="J4" s="211" t="inlineStr">
        <is>
          <t>FY26A / LTM</t>
        </is>
      </c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5" t="n"/>
    </row>
    <row r="5" ht="14.55" customHeight="1">
      <c r="A5" s="7" t="n"/>
      <c r="C5" s="210">
        <f>Assumptions!$G$9</f>
        <v/>
      </c>
      <c r="D5" s="54" t="n"/>
      <c r="E5" s="54" t="n"/>
      <c r="F5" s="54" t="n"/>
      <c r="G5" s="54">
        <f>'Historical Financials'!G5</f>
        <v/>
      </c>
      <c r="H5" s="54">
        <f>'Historical Financials'!H5</f>
        <v/>
      </c>
      <c r="I5" s="54">
        <f>'Historical Financials'!I5</f>
        <v/>
      </c>
      <c r="J5" s="674">
        <f>'Historical Financials'!J5</f>
        <v/>
      </c>
      <c r="K5" s="54">
        <f>"FY"&amp;K$1&amp;"E"</f>
        <v/>
      </c>
      <c r="L5" s="54">
        <f>"FY"&amp;L$1&amp;"E"</f>
        <v/>
      </c>
      <c r="M5" s="54">
        <f>"FY"&amp;M$1&amp;"E"</f>
        <v/>
      </c>
      <c r="N5" s="54">
        <f>"FY"&amp;N$1&amp;"E"</f>
        <v/>
      </c>
      <c r="O5" s="54">
        <f>"FY"&amp;O$1&amp;"E"</f>
        <v/>
      </c>
      <c r="P5" s="54">
        <f>"FY"&amp;P$1&amp;"E"</f>
        <v/>
      </c>
      <c r="Q5" s="54">
        <f>"FY"&amp;Q$1&amp;"E"</f>
        <v/>
      </c>
      <c r="R5" s="54">
        <f>"FY"&amp;R$1&amp;"E"</f>
        <v/>
      </c>
      <c r="S5" s="54">
        <f>"FY"&amp;S$1&amp;"E"</f>
        <v/>
      </c>
      <c r="T5" s="55">
        <f>"FY"&amp;T$1&amp;"E"</f>
        <v/>
      </c>
    </row>
    <row r="6" ht="5" customHeight="1">
      <c r="A6" s="7" t="n"/>
      <c r="C6" s="219" t="n"/>
      <c r="D6" s="219" t="n"/>
      <c r="E6" s="219" t="n"/>
      <c r="F6" s="219" t="n"/>
      <c r="G6" s="186" t="n"/>
      <c r="H6" s="186" t="n"/>
      <c r="I6" s="186" t="n"/>
      <c r="J6" s="186" t="n"/>
      <c r="K6" s="187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</row>
    <row r="7" outlineLevel="1" ht="14.25" customHeight="1">
      <c r="A7" s="7" t="n"/>
      <c r="C7" s="316">
        <f>+'Historical Financials'!C9</f>
        <v/>
      </c>
      <c r="D7" s="94" t="n"/>
      <c r="E7" s="94" t="n"/>
      <c r="F7" s="94" t="n"/>
      <c r="G7" s="675">
        <f>+'Historical Financials'!G9/Conversion_Rate</f>
        <v/>
      </c>
      <c r="H7" s="675">
        <f>+'Historical Financials'!H9/Conversion_Rate</f>
        <v/>
      </c>
      <c r="I7" s="675">
        <f>+'Historical Financials'!I9/Conversion_Rate</f>
        <v/>
      </c>
      <c r="J7" s="675">
        <f>+'Historical Financials'!J9/Conversion_Rate</f>
        <v/>
      </c>
      <c r="K7" s="675">
        <f>+Drivers!K8</f>
        <v/>
      </c>
      <c r="L7" s="675">
        <f>+Drivers!L8</f>
        <v/>
      </c>
      <c r="M7" s="675">
        <f>+Drivers!M8</f>
        <v/>
      </c>
      <c r="N7" s="675">
        <f>+Drivers!N8</f>
        <v/>
      </c>
      <c r="O7" s="675">
        <f>+Drivers!O8</f>
        <v/>
      </c>
      <c r="P7" s="675">
        <f>+Drivers!P8</f>
        <v/>
      </c>
      <c r="Q7" s="675">
        <f>+Drivers!Q8</f>
        <v/>
      </c>
      <c r="R7" s="675">
        <f>+Drivers!R8</f>
        <v/>
      </c>
      <c r="S7" s="675">
        <f>+Drivers!S8</f>
        <v/>
      </c>
      <c r="T7" s="675">
        <f>+Drivers!T8</f>
        <v/>
      </c>
    </row>
    <row r="8" outlineLevel="1" ht="14.25" customHeight="1">
      <c r="A8" s="7" t="n"/>
      <c r="C8" s="320">
        <f>+'Historical Financials'!C10</f>
        <v/>
      </c>
      <c r="D8" s="324" t="n"/>
      <c r="E8" s="324" t="n"/>
      <c r="F8" s="324" t="n"/>
      <c r="G8" s="676">
        <f>+'Historical Financials'!G10/Conversion_Rate</f>
        <v/>
      </c>
      <c r="H8" s="676">
        <f>+'Historical Financials'!H10/Conversion_Rate</f>
        <v/>
      </c>
      <c r="I8" s="676">
        <f>+'Historical Financials'!I10/Conversion_Rate</f>
        <v/>
      </c>
      <c r="J8" s="676">
        <f>+'Historical Financials'!J10/Conversion_Rate</f>
        <v/>
      </c>
      <c r="K8" s="677">
        <f>+Drivers!K13</f>
        <v/>
      </c>
      <c r="L8" s="676">
        <f>+Drivers!L13</f>
        <v/>
      </c>
      <c r="M8" s="676">
        <f>+Drivers!M13</f>
        <v/>
      </c>
      <c r="N8" s="676">
        <f>+Drivers!N13</f>
        <v/>
      </c>
      <c r="O8" s="676">
        <f>+Drivers!O13</f>
        <v/>
      </c>
      <c r="P8" s="676">
        <f>+Drivers!P13</f>
        <v/>
      </c>
      <c r="Q8" s="676">
        <f>+Drivers!Q13</f>
        <v/>
      </c>
      <c r="R8" s="676">
        <f>+Drivers!R13</f>
        <v/>
      </c>
      <c r="S8" s="676">
        <f>+Drivers!S13</f>
        <v/>
      </c>
      <c r="T8" s="676">
        <f>+Drivers!T13</f>
        <v/>
      </c>
    </row>
    <row r="9" ht="15" customHeight="1">
      <c r="A9" s="7" t="n"/>
      <c r="C9" s="220" t="inlineStr">
        <is>
          <t>Revenue</t>
        </is>
      </c>
      <c r="D9" s="220" t="n"/>
      <c r="E9" s="220" t="n"/>
      <c r="F9" s="220" t="n"/>
      <c r="G9" s="678">
        <f>SUM(G7:G8)</f>
        <v/>
      </c>
      <c r="H9" s="678">
        <f>SUM(H7:H8)</f>
        <v/>
      </c>
      <c r="I9" s="678">
        <f>SUM(I7:I8)</f>
        <v/>
      </c>
      <c r="J9" s="678">
        <f>SUM(J7:J8)</f>
        <v/>
      </c>
      <c r="K9" s="679">
        <f>SUM(K7:K8)</f>
        <v/>
      </c>
      <c r="L9" s="678">
        <f>SUM(L7:L8)</f>
        <v/>
      </c>
      <c r="M9" s="678">
        <f>SUM(M7:M8)</f>
        <v/>
      </c>
      <c r="N9" s="678">
        <f>SUM(N7:N8)</f>
        <v/>
      </c>
      <c r="O9" s="678">
        <f>SUM(O7:O8)</f>
        <v/>
      </c>
      <c r="P9" s="678">
        <f>SUM(P7:P8)</f>
        <v/>
      </c>
      <c r="Q9" s="678">
        <f>SUM(Q7:Q8)</f>
        <v/>
      </c>
      <c r="R9" s="678">
        <f>SUM(R7:R8)</f>
        <v/>
      </c>
      <c r="S9" s="678">
        <f>SUM(S7:S8)</f>
        <v/>
      </c>
      <c r="T9" s="678">
        <f>SUM(T7:T8)</f>
        <v/>
      </c>
    </row>
    <row r="10" ht="15" customHeight="1">
      <c r="A10" s="7" t="n"/>
      <c r="C10" s="9" t="inlineStr">
        <is>
          <t>Growth</t>
        </is>
      </c>
      <c r="D10" s="10" t="n"/>
      <c r="E10" s="10" t="n"/>
      <c r="F10" s="10" t="n"/>
      <c r="G10" s="11">
        <f>G9/3500.921-1</f>
        <v/>
      </c>
      <c r="H10" s="12">
        <f>H9/G9-1</f>
        <v/>
      </c>
      <c r="I10" s="12">
        <f>I9/H9-1</f>
        <v/>
      </c>
      <c r="J10" s="11">
        <f>J9/I9-1</f>
        <v/>
      </c>
      <c r="K10" s="13">
        <f>K9/J9-1</f>
        <v/>
      </c>
      <c r="L10" s="12">
        <f>L9/K9-1</f>
        <v/>
      </c>
      <c r="M10" s="12">
        <f>M9/L9-1</f>
        <v/>
      </c>
      <c r="N10" s="12">
        <f>N9/M9-1</f>
        <v/>
      </c>
      <c r="O10" s="12">
        <f>O9/N9-1</f>
        <v/>
      </c>
      <c r="P10" s="12">
        <f>P9/O9-1</f>
        <v/>
      </c>
      <c r="Q10" s="12">
        <f>Q9/P9-1</f>
        <v/>
      </c>
      <c r="R10" s="12">
        <f>R9/Q9-1</f>
        <v/>
      </c>
      <c r="S10" s="12">
        <f>S9/R9-1</f>
        <v/>
      </c>
      <c r="T10" s="12">
        <f>T9/S9-1</f>
        <v/>
      </c>
    </row>
    <row r="11" ht="14.25" customHeight="1">
      <c r="A11" s="7" t="n"/>
      <c r="C11" s="95" t="n"/>
      <c r="D11" s="95" t="n"/>
      <c r="E11" s="95" t="n"/>
      <c r="F11" s="95" t="n"/>
      <c r="G11" s="680" t="n"/>
      <c r="H11" s="680" t="n"/>
      <c r="I11" s="680" t="n"/>
      <c r="J11" s="680" t="n"/>
      <c r="K11" s="681" t="n"/>
      <c r="L11" s="680" t="n"/>
      <c r="M11" s="680" t="n"/>
      <c r="N11" s="680" t="n"/>
      <c r="O11" s="680" t="n"/>
      <c r="P11" s="680" t="n"/>
      <c r="Q11" s="680" t="n"/>
      <c r="R11" s="680" t="n"/>
      <c r="S11" s="680" t="n"/>
      <c r="T11" s="680" t="n"/>
    </row>
    <row r="12" outlineLevel="1" ht="14.25" customHeight="1">
      <c r="A12" s="7" t="n"/>
      <c r="C12" s="316">
        <f>'Historical Financials'!C13</f>
        <v/>
      </c>
      <c r="D12" s="94" t="n"/>
      <c r="E12" s="94" t="n"/>
      <c r="F12" s="94" t="n"/>
      <c r="G12" s="675">
        <f>'Historical Financials'!G13/Conversion_Rate</f>
        <v/>
      </c>
      <c r="H12" s="675">
        <f>'Historical Financials'!H13/Conversion_Rate</f>
        <v/>
      </c>
      <c r="I12" s="675">
        <f>'Historical Financials'!I13/Conversion_Rate</f>
        <v/>
      </c>
      <c r="J12" s="675">
        <f>'Historical Financials'!J13/Conversion_Rate</f>
        <v/>
      </c>
      <c r="K12" s="675">
        <f>+Drivers!K19</f>
        <v/>
      </c>
      <c r="L12" s="675">
        <f>+Drivers!L19</f>
        <v/>
      </c>
      <c r="M12" s="675">
        <f>+Drivers!M19</f>
        <v/>
      </c>
      <c r="N12" s="675">
        <f>+Drivers!N19</f>
        <v/>
      </c>
      <c r="O12" s="675">
        <f>+Drivers!O19</f>
        <v/>
      </c>
      <c r="P12" s="675">
        <f>+Drivers!P19</f>
        <v/>
      </c>
      <c r="Q12" s="675">
        <f>+Drivers!Q19</f>
        <v/>
      </c>
      <c r="R12" s="675">
        <f>+Drivers!R19</f>
        <v/>
      </c>
      <c r="S12" s="675">
        <f>+Drivers!S19</f>
        <v/>
      </c>
      <c r="T12" s="675">
        <f>+Drivers!T19</f>
        <v/>
      </c>
    </row>
    <row r="13" outlineLevel="1" ht="14.25" customHeight="1">
      <c r="A13" s="7" t="n"/>
      <c r="C13" s="320">
        <f>'Historical Financials'!C14</f>
        <v/>
      </c>
      <c r="D13" s="324" t="n"/>
      <c r="E13" s="324" t="n"/>
      <c r="F13" s="324" t="n"/>
      <c r="G13" s="676">
        <f>'Historical Financials'!G14/Conversion_Rate</f>
        <v/>
      </c>
      <c r="H13" s="676">
        <f>'Historical Financials'!H14/Conversion_Rate</f>
        <v/>
      </c>
      <c r="I13" s="676">
        <f>'Historical Financials'!I14/Conversion_Rate</f>
        <v/>
      </c>
      <c r="J13" s="676">
        <f>'Historical Financials'!J14/Conversion_Rate</f>
        <v/>
      </c>
      <c r="K13" s="677">
        <f>+Drivers!K24</f>
        <v/>
      </c>
      <c r="L13" s="676">
        <f>+Drivers!L24</f>
        <v/>
      </c>
      <c r="M13" s="676">
        <f>+Drivers!M24</f>
        <v/>
      </c>
      <c r="N13" s="676">
        <f>+Drivers!N24</f>
        <v/>
      </c>
      <c r="O13" s="676">
        <f>+Drivers!O24</f>
        <v/>
      </c>
      <c r="P13" s="676">
        <f>+Drivers!P24</f>
        <v/>
      </c>
      <c r="Q13" s="676">
        <f>+Drivers!Q24</f>
        <v/>
      </c>
      <c r="R13" s="676">
        <f>+Drivers!R24</f>
        <v/>
      </c>
      <c r="S13" s="676">
        <f>+Drivers!S24</f>
        <v/>
      </c>
      <c r="T13" s="676">
        <f>+Drivers!T24</f>
        <v/>
      </c>
    </row>
    <row r="14" ht="15" customHeight="1">
      <c r="A14" s="7" t="n"/>
      <c r="C14" s="102" t="inlineStr">
        <is>
          <t>Cost of Goods Sold</t>
        </is>
      </c>
      <c r="D14" s="220" t="n"/>
      <c r="E14" s="220" t="n"/>
      <c r="F14" s="220" t="n"/>
      <c r="G14" s="678">
        <f>SUM(G12:G13)</f>
        <v/>
      </c>
      <c r="H14" s="678">
        <f>SUM(H12:H13)</f>
        <v/>
      </c>
      <c r="I14" s="678">
        <f>SUM(I12:I13)</f>
        <v/>
      </c>
      <c r="J14" s="678">
        <f>SUM(J12:J13)</f>
        <v/>
      </c>
      <c r="K14" s="679">
        <f>SUM(K12:K13)</f>
        <v/>
      </c>
      <c r="L14" s="678">
        <f>SUM(L12:L13)</f>
        <v/>
      </c>
      <c r="M14" s="678">
        <f>SUM(M12:M13)</f>
        <v/>
      </c>
      <c r="N14" s="678">
        <f>SUM(N12:N13)</f>
        <v/>
      </c>
      <c r="O14" s="678">
        <f>SUM(O12:O13)</f>
        <v/>
      </c>
      <c r="P14" s="678">
        <f>SUM(P12:P13)</f>
        <v/>
      </c>
      <c r="Q14" s="678">
        <f>SUM(Q12:Q13)</f>
        <v/>
      </c>
      <c r="R14" s="678">
        <f>SUM(R12:R13)</f>
        <v/>
      </c>
      <c r="S14" s="678">
        <f>SUM(S12:S13)</f>
        <v/>
      </c>
      <c r="T14" s="678">
        <f>SUM(T12:T13)</f>
        <v/>
      </c>
    </row>
    <row r="15" ht="14.25" customHeight="1">
      <c r="A15" s="7" t="n"/>
      <c r="C15" s="95" t="n"/>
      <c r="D15" s="95" t="n"/>
      <c r="E15" s="95" t="n"/>
      <c r="F15" s="95" t="n"/>
      <c r="G15" s="680" t="n"/>
      <c r="H15" s="680" t="n"/>
      <c r="I15" s="680" t="n"/>
      <c r="J15" s="680" t="n"/>
      <c r="K15" s="681" t="n"/>
      <c r="L15" s="680" t="n"/>
      <c r="M15" s="680" t="n"/>
      <c r="N15" s="680" t="n"/>
      <c r="O15" s="680" t="n"/>
      <c r="P15" s="680" t="n"/>
      <c r="Q15" s="680" t="n"/>
      <c r="R15" s="680" t="n"/>
      <c r="S15" s="680" t="n"/>
      <c r="T15" s="680" t="n"/>
    </row>
    <row r="16" outlineLevel="1" ht="14.25" customHeight="1">
      <c r="A16" s="7" t="n"/>
      <c r="C16" s="147" t="inlineStr">
        <is>
          <t>Gross Profit 1</t>
        </is>
      </c>
      <c r="D16" s="94" t="n"/>
      <c r="E16" s="94" t="n"/>
      <c r="F16" s="94" t="n"/>
      <c r="G16" s="682">
        <f>+G7-G12</f>
        <v/>
      </c>
      <c r="H16" s="682">
        <f>+H7-H12</f>
        <v/>
      </c>
      <c r="I16" s="682">
        <f>+I7-I12</f>
        <v/>
      </c>
      <c r="J16" s="682">
        <f>+J7-J12</f>
        <v/>
      </c>
      <c r="K16" s="682">
        <f>+K7-K12</f>
        <v/>
      </c>
      <c r="L16" s="682">
        <f>+L7-L12</f>
        <v/>
      </c>
      <c r="M16" s="682">
        <f>+M7-M12</f>
        <v/>
      </c>
      <c r="N16" s="682">
        <f>+N7-N12</f>
        <v/>
      </c>
      <c r="O16" s="682">
        <f>+O7-O12</f>
        <v/>
      </c>
      <c r="P16" s="682">
        <f>+P7-P12</f>
        <v/>
      </c>
      <c r="Q16" s="682">
        <f>+Q7-Q12</f>
        <v/>
      </c>
      <c r="R16" s="682">
        <f>+R7-R12</f>
        <v/>
      </c>
      <c r="S16" s="682">
        <f>+S7-S12</f>
        <v/>
      </c>
      <c r="T16" s="682">
        <f>+T7-T12</f>
        <v/>
      </c>
    </row>
    <row r="17" outlineLevel="1" ht="14.25" customHeight="1">
      <c r="A17" s="7" t="n"/>
      <c r="C17" s="323" t="inlineStr">
        <is>
          <t>Gross Profit 2</t>
        </is>
      </c>
      <c r="D17" s="324" t="n"/>
      <c r="E17" s="324" t="n"/>
      <c r="F17" s="324" t="n"/>
      <c r="G17" s="683">
        <f>+G8-G13</f>
        <v/>
      </c>
      <c r="H17" s="683">
        <f>+H8-H13</f>
        <v/>
      </c>
      <c r="I17" s="683">
        <f>+I8-I13</f>
        <v/>
      </c>
      <c r="J17" s="683">
        <f>+J8-J13</f>
        <v/>
      </c>
      <c r="K17" s="684">
        <f>+K8-K13</f>
        <v/>
      </c>
      <c r="L17" s="683">
        <f>+L8-L13</f>
        <v/>
      </c>
      <c r="M17" s="683">
        <f>+M8-M13</f>
        <v/>
      </c>
      <c r="N17" s="683">
        <f>+N8-N13</f>
        <v/>
      </c>
      <c r="O17" s="683">
        <f>+O8-O13</f>
        <v/>
      </c>
      <c r="P17" s="683">
        <f>+P8-P13</f>
        <v/>
      </c>
      <c r="Q17" s="683">
        <f>+Q8-Q13</f>
        <v/>
      </c>
      <c r="R17" s="683">
        <f>+R8-R13</f>
        <v/>
      </c>
      <c r="S17" s="683">
        <f>+S8-S13</f>
        <v/>
      </c>
      <c r="T17" s="683">
        <f>+T8-T13</f>
        <v/>
      </c>
    </row>
    <row r="18" ht="15" customHeight="1">
      <c r="A18" s="7" t="n"/>
      <c r="C18" s="220" t="inlineStr">
        <is>
          <t>Gross Profit</t>
        </is>
      </c>
      <c r="D18" s="129" t="n"/>
      <c r="E18" s="129" t="n"/>
      <c r="F18" s="129" t="n"/>
      <c r="G18" s="685">
        <f>G9-G14</f>
        <v/>
      </c>
      <c r="H18" s="678">
        <f>H9-H14</f>
        <v/>
      </c>
      <c r="I18" s="678">
        <f>I9-I14</f>
        <v/>
      </c>
      <c r="J18" s="678">
        <f>J9-J14</f>
        <v/>
      </c>
      <c r="K18" s="679">
        <f>K9-K14</f>
        <v/>
      </c>
      <c r="L18" s="678">
        <f>L9-L14</f>
        <v/>
      </c>
      <c r="M18" s="678">
        <f>M9-M14</f>
        <v/>
      </c>
      <c r="N18" s="678">
        <f>N9-N14</f>
        <v/>
      </c>
      <c r="O18" s="678">
        <f>O9-O14</f>
        <v/>
      </c>
      <c r="P18" s="678">
        <f>P9-P14</f>
        <v/>
      </c>
      <c r="Q18" s="678">
        <f>Q9-Q14</f>
        <v/>
      </c>
      <c r="R18" s="678">
        <f>R9-R14</f>
        <v/>
      </c>
      <c r="S18" s="678">
        <f>S9-S14</f>
        <v/>
      </c>
      <c r="T18" s="678">
        <f>T9-T14</f>
        <v/>
      </c>
    </row>
    <row r="19" ht="15" customHeight="1">
      <c r="A19" s="7" t="n"/>
      <c r="C19" s="9" t="inlineStr">
        <is>
          <t>Gross Margin</t>
        </is>
      </c>
      <c r="D19" s="10" t="n"/>
      <c r="E19" s="10" t="n"/>
      <c r="F19" s="10" t="n"/>
      <c r="G19" s="12">
        <f>G18/G$9</f>
        <v/>
      </c>
      <c r="H19" s="12">
        <f>H18/H$9</f>
        <v/>
      </c>
      <c r="I19" s="12">
        <f>I18/I$9</f>
        <v/>
      </c>
      <c r="J19" s="12">
        <f>J18/J$9</f>
        <v/>
      </c>
      <c r="K19" s="13">
        <f>K18/K$9</f>
        <v/>
      </c>
      <c r="L19" s="12">
        <f>L18/L$9</f>
        <v/>
      </c>
      <c r="M19" s="12">
        <f>M18/M$9</f>
        <v/>
      </c>
      <c r="N19" s="12">
        <f>N18/N$9</f>
        <v/>
      </c>
      <c r="O19" s="12">
        <f>O18/O$9</f>
        <v/>
      </c>
      <c r="P19" s="12">
        <f>P18/P$9</f>
        <v/>
      </c>
      <c r="Q19" s="12">
        <f>Q18/Q$9</f>
        <v/>
      </c>
      <c r="R19" s="12">
        <f>R18/R$9</f>
        <v/>
      </c>
      <c r="S19" s="12">
        <f>S18/S$9</f>
        <v/>
      </c>
      <c r="T19" s="12">
        <f>T18/T$9</f>
        <v/>
      </c>
    </row>
    <row r="20" ht="14.25" customHeight="1">
      <c r="A20" s="7" t="n"/>
      <c r="C20" s="95" t="n"/>
      <c r="D20" s="95" t="n"/>
      <c r="E20" s="95" t="n"/>
      <c r="F20" s="95" t="n"/>
      <c r="G20" s="680" t="n"/>
      <c r="H20" s="680" t="n"/>
      <c r="I20" s="680" t="n"/>
      <c r="J20" s="680" t="n"/>
      <c r="K20" s="681" t="n"/>
      <c r="L20" s="680" t="n"/>
      <c r="M20" s="680" t="n"/>
      <c r="N20" s="680" t="n"/>
      <c r="O20" s="680" t="n"/>
      <c r="P20" s="680" t="n"/>
      <c r="Q20" s="680" t="n"/>
      <c r="R20" s="680" t="n"/>
      <c r="S20" s="680" t="n"/>
      <c r="T20" s="680" t="n"/>
    </row>
    <row r="21" outlineLevel="1" ht="14.25" customHeight="1">
      <c r="A21" s="7" t="n"/>
      <c r="C21" s="316">
        <f>'Historical Financials'!C21</f>
        <v/>
      </c>
      <c r="D21" s="201" t="n"/>
      <c r="E21" s="201" t="n"/>
      <c r="F21" s="201" t="n"/>
      <c r="G21" s="675">
        <f>'Historical Financials'!G21/Conversion_Rate</f>
        <v/>
      </c>
      <c r="H21" s="675">
        <f>'Historical Financials'!H21/Conversion_Rate</f>
        <v/>
      </c>
      <c r="I21" s="675">
        <f>'Historical Financials'!I21/Conversion_Rate</f>
        <v/>
      </c>
      <c r="J21" s="675">
        <f>'Historical Financials'!J21/Conversion_Rate</f>
        <v/>
      </c>
      <c r="K21" s="675">
        <f>+Drivers!K30</f>
        <v/>
      </c>
      <c r="L21" s="675">
        <f>+Drivers!L30</f>
        <v/>
      </c>
      <c r="M21" s="675">
        <f>+Drivers!M30</f>
        <v/>
      </c>
      <c r="N21" s="675">
        <f>+Drivers!N30</f>
        <v/>
      </c>
      <c r="O21" s="675">
        <f>+Drivers!O30</f>
        <v/>
      </c>
      <c r="P21" s="675">
        <f>+Drivers!P30</f>
        <v/>
      </c>
      <c r="Q21" s="675">
        <f>+Drivers!Q30</f>
        <v/>
      </c>
      <c r="R21" s="675">
        <f>+Drivers!R30</f>
        <v/>
      </c>
      <c r="S21" s="675">
        <f>+Drivers!S30</f>
        <v/>
      </c>
      <c r="T21" s="675">
        <f>+Drivers!T30</f>
        <v/>
      </c>
    </row>
    <row r="22" outlineLevel="1" ht="14.25" customHeight="1">
      <c r="A22" s="7" t="n"/>
      <c r="C22" s="316">
        <f>'Historical Financials'!C22</f>
        <v/>
      </c>
      <c r="D22" s="201" t="n"/>
      <c r="E22" s="201" t="n"/>
      <c r="F22" s="201" t="n"/>
      <c r="G22" s="686">
        <f>'Historical Financials'!G22/Conversion_Rate</f>
        <v/>
      </c>
      <c r="H22" s="686">
        <f>'Historical Financials'!H22/Conversion_Rate</f>
        <v/>
      </c>
      <c r="I22" s="686">
        <f>'Historical Financials'!I22/Conversion_Rate</f>
        <v/>
      </c>
      <c r="J22" s="686">
        <f>'Historical Financials'!J22/Conversion_Rate</f>
        <v/>
      </c>
      <c r="K22" s="686">
        <f>+Drivers!K35</f>
        <v/>
      </c>
      <c r="L22" s="686">
        <f>+Drivers!L35</f>
        <v/>
      </c>
      <c r="M22" s="686">
        <f>+Drivers!M35</f>
        <v/>
      </c>
      <c r="N22" s="686">
        <f>+Drivers!N35</f>
        <v/>
      </c>
      <c r="O22" s="686">
        <f>+Drivers!O35</f>
        <v/>
      </c>
      <c r="P22" s="686">
        <f>+Drivers!P35</f>
        <v/>
      </c>
      <c r="Q22" s="686">
        <f>+Drivers!Q35</f>
        <v/>
      </c>
      <c r="R22" s="686">
        <f>+Drivers!R35</f>
        <v/>
      </c>
      <c r="S22" s="686">
        <f>+Drivers!S35</f>
        <v/>
      </c>
      <c r="T22" s="686">
        <f>+Drivers!T35</f>
        <v/>
      </c>
    </row>
    <row r="23" outlineLevel="1" ht="14.25" customHeight="1">
      <c r="A23" s="7" t="n"/>
      <c r="C23" s="320">
        <f>'Historical Financials'!C23</f>
        <v/>
      </c>
      <c r="D23" s="321" t="n"/>
      <c r="E23" s="321" t="n"/>
      <c r="F23" s="321" t="n"/>
      <c r="G23" s="676">
        <f>'Historical Financials'!G23/Conversion_Rate</f>
        <v/>
      </c>
      <c r="H23" s="676">
        <f>'Historical Financials'!H23/Conversion_Rate</f>
        <v/>
      </c>
      <c r="I23" s="676">
        <f>'Historical Financials'!I23/Conversion_Rate</f>
        <v/>
      </c>
      <c r="J23" s="676">
        <f>'Historical Financials'!J23/Conversion_Rate</f>
        <v/>
      </c>
      <c r="K23" s="677">
        <f>+Drivers!K40</f>
        <v/>
      </c>
      <c r="L23" s="676">
        <f>+Drivers!L40</f>
        <v/>
      </c>
      <c r="M23" s="676">
        <f>+Drivers!M40</f>
        <v/>
      </c>
      <c r="N23" s="676">
        <f>+Drivers!N40</f>
        <v/>
      </c>
      <c r="O23" s="676">
        <f>+Drivers!O40</f>
        <v/>
      </c>
      <c r="P23" s="676">
        <f>+Drivers!P40</f>
        <v/>
      </c>
      <c r="Q23" s="676">
        <f>+Drivers!Q40</f>
        <v/>
      </c>
      <c r="R23" s="676">
        <f>+Drivers!R40</f>
        <v/>
      </c>
      <c r="S23" s="676">
        <f>+Drivers!S40</f>
        <v/>
      </c>
      <c r="T23" s="676">
        <f>+Drivers!T40</f>
        <v/>
      </c>
    </row>
    <row r="24" ht="15" customHeight="1">
      <c r="A24" s="7" t="n"/>
      <c r="C24" s="102" t="inlineStr">
        <is>
          <t>Opex</t>
        </is>
      </c>
      <c r="D24" s="129" t="n"/>
      <c r="E24" s="129" t="n"/>
      <c r="F24" s="129" t="n"/>
      <c r="G24" s="685">
        <f>SUM(G21:G23)</f>
        <v/>
      </c>
      <c r="H24" s="678">
        <f>SUM(H21:H23)</f>
        <v/>
      </c>
      <c r="I24" s="678">
        <f>SUM(I21:I23)</f>
        <v/>
      </c>
      <c r="J24" s="678">
        <f>SUM(J21:J23)</f>
        <v/>
      </c>
      <c r="K24" s="679">
        <f>SUM(K21:K23)</f>
        <v/>
      </c>
      <c r="L24" s="678">
        <f>SUM(L21:L23)</f>
        <v/>
      </c>
      <c r="M24" s="678">
        <f>SUM(M21:M23)</f>
        <v/>
      </c>
      <c r="N24" s="678">
        <f>SUM(N21:N23)</f>
        <v/>
      </c>
      <c r="O24" s="678">
        <f>SUM(O21:O23)</f>
        <v/>
      </c>
      <c r="P24" s="678">
        <f>SUM(P21:P23)</f>
        <v/>
      </c>
      <c r="Q24" s="678">
        <f>SUM(Q21:Q23)</f>
        <v/>
      </c>
      <c r="R24" s="678">
        <f>SUM(R21:R23)</f>
        <v/>
      </c>
      <c r="S24" s="678">
        <f>SUM(S21:S23)</f>
        <v/>
      </c>
      <c r="T24" s="678">
        <f>SUM(T21:T23)</f>
        <v/>
      </c>
    </row>
    <row r="25" ht="15" customHeight="1">
      <c r="A25" s="7" t="n"/>
      <c r="C25" s="315" t="inlineStr">
        <is>
          <t>% of Revenue</t>
        </is>
      </c>
      <c r="D25" s="10" t="n"/>
      <c r="E25" s="10" t="n"/>
      <c r="F25" s="10" t="n"/>
      <c r="G25" s="12">
        <f>G24/G$9</f>
        <v/>
      </c>
      <c r="H25" s="12">
        <f>H24/H$9</f>
        <v/>
      </c>
      <c r="I25" s="12">
        <f>I24/I$9</f>
        <v/>
      </c>
      <c r="J25" s="12">
        <f>J24/J$9</f>
        <v/>
      </c>
      <c r="K25" s="13">
        <f>K24/K$9</f>
        <v/>
      </c>
      <c r="L25" s="12">
        <f>L24/L$9</f>
        <v/>
      </c>
      <c r="M25" s="12">
        <f>M24/M$9</f>
        <v/>
      </c>
      <c r="N25" s="12">
        <f>N24/N$9</f>
        <v/>
      </c>
      <c r="O25" s="12">
        <f>O24/O$9</f>
        <v/>
      </c>
      <c r="P25" s="12">
        <f>P24/P$9</f>
        <v/>
      </c>
      <c r="Q25" s="12">
        <f>Q24/Q$9</f>
        <v/>
      </c>
      <c r="R25" s="12">
        <f>R24/R$9</f>
        <v/>
      </c>
      <c r="S25" s="12">
        <f>S24/S$9</f>
        <v/>
      </c>
      <c r="T25" s="12">
        <f>T24/T$9</f>
        <v/>
      </c>
    </row>
    <row r="26" ht="14.25" customHeight="1">
      <c r="A26" s="7" t="n"/>
      <c r="C26" s="95" t="n"/>
      <c r="D26" s="95" t="n"/>
      <c r="E26" s="95" t="n"/>
      <c r="F26" s="95" t="n"/>
      <c r="G26" s="680" t="n"/>
      <c r="H26" s="680" t="n"/>
      <c r="I26" s="680" t="n"/>
      <c r="J26" s="680" t="n"/>
      <c r="K26" s="681" t="n"/>
      <c r="L26" s="680" t="n"/>
      <c r="M26" s="680" t="n"/>
      <c r="N26" s="680" t="n"/>
      <c r="O26" s="680" t="n"/>
      <c r="P26" s="680" t="n"/>
      <c r="Q26" s="680" t="n"/>
      <c r="R26" s="680" t="n"/>
      <c r="S26" s="680" t="n"/>
      <c r="T26" s="680" t="n"/>
    </row>
    <row r="27" ht="15" customHeight="1">
      <c r="A27" s="7" t="n"/>
      <c r="C27" s="334" t="inlineStr">
        <is>
          <t>EBITDA</t>
        </is>
      </c>
      <c r="D27" s="335" t="n"/>
      <c r="E27" s="335" t="n"/>
      <c r="F27" s="335" t="n"/>
      <c r="G27" s="687">
        <f>G18-G24</f>
        <v/>
      </c>
      <c r="H27" s="688">
        <f>H18-H24</f>
        <v/>
      </c>
      <c r="I27" s="688">
        <f>I18-I24</f>
        <v/>
      </c>
      <c r="J27" s="688">
        <f>J18-J24</f>
        <v/>
      </c>
      <c r="K27" s="689">
        <f>K18-K24</f>
        <v/>
      </c>
      <c r="L27" s="688">
        <f>L18-L24</f>
        <v/>
      </c>
      <c r="M27" s="688">
        <f>M18-M24</f>
        <v/>
      </c>
      <c r="N27" s="688">
        <f>N18-N24</f>
        <v/>
      </c>
      <c r="O27" s="688">
        <f>O18-O24</f>
        <v/>
      </c>
      <c r="P27" s="688">
        <f>P18-P24</f>
        <v/>
      </c>
      <c r="Q27" s="688">
        <f>Q18-Q24</f>
        <v/>
      </c>
      <c r="R27" s="688">
        <f>R18-R24</f>
        <v/>
      </c>
      <c r="S27" s="688">
        <f>S18-S24</f>
        <v/>
      </c>
      <c r="T27" s="688">
        <f>T18-T24</f>
        <v/>
      </c>
    </row>
    <row r="28" ht="15" customHeight="1">
      <c r="A28" s="7" t="n"/>
      <c r="C28" s="9" t="inlineStr">
        <is>
          <t>EBITDA Margin</t>
        </is>
      </c>
      <c r="D28" s="10" t="n"/>
      <c r="E28" s="10" t="n"/>
      <c r="F28" s="10" t="n"/>
      <c r="G28" s="12">
        <f>G27/G$9</f>
        <v/>
      </c>
      <c r="H28" s="12">
        <f>H27/H$9</f>
        <v/>
      </c>
      <c r="I28" s="12">
        <f>I27/I$9</f>
        <v/>
      </c>
      <c r="J28" s="12">
        <f>J27/J$9</f>
        <v/>
      </c>
      <c r="K28" s="13">
        <f>K27/K$9</f>
        <v/>
      </c>
      <c r="L28" s="12">
        <f>L27/L$9</f>
        <v/>
      </c>
      <c r="M28" s="12">
        <f>M27/M$9</f>
        <v/>
      </c>
      <c r="N28" s="12">
        <f>N27/N$9</f>
        <v/>
      </c>
      <c r="O28" s="12">
        <f>O27/O$9</f>
        <v/>
      </c>
      <c r="P28" s="12">
        <f>P27/P$9</f>
        <v/>
      </c>
      <c r="Q28" s="12">
        <f>Q27/Q$9</f>
        <v/>
      </c>
      <c r="R28" s="12">
        <f>R27/R$9</f>
        <v/>
      </c>
      <c r="S28" s="12">
        <f>S27/S$9</f>
        <v/>
      </c>
      <c r="T28" s="12">
        <f>T27/T$9</f>
        <v/>
      </c>
    </row>
    <row r="29" ht="14.25" customHeight="1">
      <c r="A29" s="7" t="n"/>
      <c r="C29" s="95" t="n"/>
      <c r="D29" s="95" t="n"/>
      <c r="E29" s="95" t="n"/>
      <c r="F29" s="95" t="n"/>
      <c r="G29" s="680" t="n"/>
      <c r="H29" s="680" t="n"/>
      <c r="I29" s="680" t="n"/>
      <c r="J29" s="680" t="n"/>
      <c r="K29" s="681" t="n"/>
      <c r="L29" s="680" t="n"/>
      <c r="M29" s="680" t="n"/>
      <c r="N29" s="680" t="n"/>
      <c r="O29" s="680" t="n"/>
      <c r="P29" s="680" t="n"/>
      <c r="Q29" s="680" t="n"/>
      <c r="R29" s="680" t="n"/>
      <c r="S29" s="680" t="n"/>
      <c r="T29" s="680" t="n"/>
    </row>
    <row r="30" ht="14.25" customHeight="1">
      <c r="A30" s="7" t="n"/>
      <c r="C30" s="317">
        <f>'Historical Financials'!$C$30</f>
        <v/>
      </c>
      <c r="D30" s="201" t="n"/>
      <c r="E30" s="201" t="n"/>
      <c r="F30" s="201" t="n"/>
      <c r="G30" s="675">
        <f>'Historical Financials'!G30/Conversion_Rate</f>
        <v/>
      </c>
      <c r="H30" s="675">
        <f>'Historical Financials'!H30/Conversion_Rate</f>
        <v/>
      </c>
      <c r="I30" s="675">
        <f>'Historical Financials'!I30/Conversion_Rate</f>
        <v/>
      </c>
      <c r="J30" s="675">
        <f>'Historical Financials'!J30/Conversion_Rate</f>
        <v/>
      </c>
      <c r="K30" s="690">
        <f>+Drivers!K46</f>
        <v/>
      </c>
      <c r="L30" s="675">
        <f>+Drivers!L46</f>
        <v/>
      </c>
      <c r="M30" s="675">
        <f>+Drivers!M46</f>
        <v/>
      </c>
      <c r="N30" s="675">
        <f>+Drivers!N46</f>
        <v/>
      </c>
      <c r="O30" s="675">
        <f>+Drivers!O46</f>
        <v/>
      </c>
      <c r="P30" s="675">
        <f>+Drivers!P46</f>
        <v/>
      </c>
      <c r="Q30" s="675">
        <f>+Drivers!Q46</f>
        <v/>
      </c>
      <c r="R30" s="675">
        <f>+Drivers!R46</f>
        <v/>
      </c>
      <c r="S30" s="675">
        <f>+Drivers!S46</f>
        <v/>
      </c>
      <c r="T30" s="675">
        <f>+Drivers!T46</f>
        <v/>
      </c>
    </row>
    <row r="31" ht="14.25" customHeight="1">
      <c r="A31" s="7" t="n"/>
      <c r="C31" s="317">
        <f>'Historical Financials'!$C$31</f>
        <v/>
      </c>
      <c r="D31" s="201" t="n"/>
      <c r="E31" s="201" t="n"/>
      <c r="F31" s="201" t="n"/>
      <c r="G31" s="686">
        <f>'Historical Financials'!G31/Conversion_Rate</f>
        <v/>
      </c>
      <c r="H31" s="686">
        <f>'Historical Financials'!H31/Conversion_Rate</f>
        <v/>
      </c>
      <c r="I31" s="686">
        <f>'Historical Financials'!I31/Conversion_Rate</f>
        <v/>
      </c>
      <c r="J31" s="686">
        <f>'Historical Financials'!J31/Conversion_Rate</f>
        <v/>
      </c>
      <c r="K31" s="691">
        <f>+Drivers!K51</f>
        <v/>
      </c>
      <c r="L31" s="686">
        <f>+Drivers!L51</f>
        <v/>
      </c>
      <c r="M31" s="686">
        <f>+Drivers!M51</f>
        <v/>
      </c>
      <c r="N31" s="686">
        <f>+Drivers!N51</f>
        <v/>
      </c>
      <c r="O31" s="686">
        <f>+Drivers!O51</f>
        <v/>
      </c>
      <c r="P31" s="686">
        <f>+Drivers!P51</f>
        <v/>
      </c>
      <c r="Q31" s="686">
        <f>+Drivers!Q51</f>
        <v/>
      </c>
      <c r="R31" s="686">
        <f>+Drivers!R51</f>
        <v/>
      </c>
      <c r="S31" s="686">
        <f>+Drivers!S51</f>
        <v/>
      </c>
      <c r="T31" s="686">
        <f>+Drivers!T51</f>
        <v/>
      </c>
    </row>
    <row r="32" ht="15" customHeight="1">
      <c r="A32" s="7" t="n"/>
      <c r="C32" s="234" t="inlineStr">
        <is>
          <t>EBIT</t>
        </is>
      </c>
      <c r="D32" s="127" t="n"/>
      <c r="E32" s="127" t="n"/>
      <c r="F32" s="127" t="n"/>
      <c r="G32" s="692">
        <f>+G27-SUM(G30:G31)</f>
        <v/>
      </c>
      <c r="H32" s="693">
        <f>+H27-SUM(H30:H31)</f>
        <v/>
      </c>
      <c r="I32" s="693">
        <f>+I27-SUM(I30:I31)</f>
        <v/>
      </c>
      <c r="J32" s="693">
        <f>+J27-SUM(J30:J31)</f>
        <v/>
      </c>
      <c r="K32" s="694">
        <f>+K27-SUM(K30:K31)</f>
        <v/>
      </c>
      <c r="L32" s="693">
        <f>+L27-SUM(L30:L31)</f>
        <v/>
      </c>
      <c r="M32" s="693">
        <f>+M27-SUM(M30:M31)</f>
        <v/>
      </c>
      <c r="N32" s="693">
        <f>+N27-SUM(N30:N31)</f>
        <v/>
      </c>
      <c r="O32" s="693">
        <f>+O27-SUM(O30:O31)</f>
        <v/>
      </c>
      <c r="P32" s="693">
        <f>+P27-SUM(P30:P31)</f>
        <v/>
      </c>
      <c r="Q32" s="693">
        <f>+Q27-SUM(Q30:Q31)</f>
        <v/>
      </c>
      <c r="R32" s="693">
        <f>+R27-SUM(R30:R31)</f>
        <v/>
      </c>
      <c r="S32" s="693">
        <f>+S27-SUM(S30:S31)</f>
        <v/>
      </c>
      <c r="T32" s="693">
        <f>+T27-SUM(T30:T31)</f>
        <v/>
      </c>
    </row>
    <row r="33" ht="14.25" customHeight="1">
      <c r="A33" s="7" t="n"/>
      <c r="C33" s="230" t="n"/>
      <c r="D33" s="201" t="n"/>
      <c r="E33" s="201" t="n"/>
      <c r="F33" s="201" t="n"/>
      <c r="G33" s="675" t="n"/>
      <c r="H33" s="675" t="n"/>
      <c r="I33" s="675" t="n"/>
      <c r="J33" s="675" t="n"/>
      <c r="K33" s="690" t="n"/>
      <c r="L33" s="675" t="n"/>
      <c r="M33" s="675" t="n"/>
      <c r="N33" s="675" t="n"/>
      <c r="O33" s="675" t="n"/>
      <c r="P33" s="675" t="n"/>
      <c r="Q33" s="675" t="n"/>
      <c r="R33" s="675" t="n"/>
      <c r="S33" s="675" t="n"/>
      <c r="T33" s="675" t="n"/>
    </row>
    <row r="34" ht="14.25" customHeight="1">
      <c r="A34" s="7" t="n"/>
      <c r="C34" s="316">
        <f>'Historical Financials'!$C$36</f>
        <v/>
      </c>
      <c r="D34" s="201" t="n"/>
      <c r="E34" s="201" t="n"/>
      <c r="F34" s="201" t="n"/>
      <c r="G34" s="675">
        <f>'Historical Financials'!G36/Conversion_Rate</f>
        <v/>
      </c>
      <c r="H34" s="675">
        <f>'Historical Financials'!H36/Conversion_Rate</f>
        <v/>
      </c>
      <c r="I34" s="675">
        <f>'Historical Financials'!I36/Conversion_Rate</f>
        <v/>
      </c>
      <c r="J34" s="675">
        <f>'Historical Financials'!J36/Conversion_Rate</f>
        <v/>
      </c>
      <c r="K34" s="690">
        <f>SUM(Drivers!K57,Drivers!K62)</f>
        <v/>
      </c>
      <c r="L34" s="675">
        <f>SUM(Drivers!L57,Drivers!L62)</f>
        <v/>
      </c>
      <c r="M34" s="675">
        <f>SUM(Drivers!M57,Drivers!M62)</f>
        <v/>
      </c>
      <c r="N34" s="675">
        <f>SUM(Drivers!N57,Drivers!N62)</f>
        <v/>
      </c>
      <c r="O34" s="675">
        <f>SUM(Drivers!O57,Drivers!O62)</f>
        <v/>
      </c>
      <c r="P34" s="675">
        <f>SUM(Drivers!P57,Drivers!P62)</f>
        <v/>
      </c>
      <c r="Q34" s="675">
        <f>SUM(Drivers!Q57,Drivers!Q62)</f>
        <v/>
      </c>
      <c r="R34" s="675">
        <f>SUM(Drivers!R57,Drivers!R62)</f>
        <v/>
      </c>
      <c r="S34" s="675">
        <f>SUM(Drivers!S57,Drivers!S62)</f>
        <v/>
      </c>
      <c r="T34" s="675">
        <f>SUM(Drivers!T57,Drivers!T62)</f>
        <v/>
      </c>
    </row>
    <row r="35" ht="15" customHeight="1">
      <c r="A35" s="7" t="n"/>
      <c r="C35" s="316">
        <f>'Historical Financials'!$C$41</f>
        <v/>
      </c>
      <c r="D35" s="201" t="n"/>
      <c r="E35" s="201" t="n"/>
      <c r="F35" s="201" t="n"/>
      <c r="G35" s="686">
        <f>'Historical Financials'!G41/Conversion_Rate</f>
        <v/>
      </c>
      <c r="H35" s="686">
        <f>'Historical Financials'!H41/Conversion_Rate</f>
        <v/>
      </c>
      <c r="I35" s="686">
        <f>'Historical Financials'!I41/Conversion_Rate</f>
        <v/>
      </c>
      <c r="J35" s="686">
        <f>'Historical Financials'!J41/Conversion_Rate</f>
        <v/>
      </c>
      <c r="K35" s="691">
        <f>+Drivers!K67</f>
        <v/>
      </c>
      <c r="L35" s="686">
        <f>+Drivers!L67</f>
        <v/>
      </c>
      <c r="M35" s="686">
        <f>+Drivers!M67</f>
        <v/>
      </c>
      <c r="N35" s="686">
        <f>+Drivers!N67</f>
        <v/>
      </c>
      <c r="O35" s="686">
        <f>+Drivers!O67</f>
        <v/>
      </c>
      <c r="P35" s="686">
        <f>+Drivers!P67</f>
        <v/>
      </c>
      <c r="Q35" s="686">
        <f>+Drivers!Q67</f>
        <v/>
      </c>
      <c r="R35" s="686">
        <f>+Drivers!R67</f>
        <v/>
      </c>
      <c r="S35" s="686">
        <f>+Drivers!S67</f>
        <v/>
      </c>
      <c r="T35" s="686">
        <f>+Drivers!T67</f>
        <v/>
      </c>
    </row>
    <row r="36" ht="15" customHeight="1">
      <c r="A36" s="7" t="n"/>
      <c r="C36" s="234" t="inlineStr">
        <is>
          <t>Earnings Before Taxes</t>
        </is>
      </c>
      <c r="D36" s="127" t="n"/>
      <c r="E36" s="127" t="n"/>
      <c r="F36" s="127" t="n"/>
      <c r="G36" s="692">
        <f>+G32-SUM(G34:G35)</f>
        <v/>
      </c>
      <c r="H36" s="693">
        <f>+H32-SUM(H34:H35)</f>
        <v/>
      </c>
      <c r="I36" s="693">
        <f>+I32-SUM(I34:I35)</f>
        <v/>
      </c>
      <c r="J36" s="693">
        <f>+J32-SUM(J34:J35)</f>
        <v/>
      </c>
      <c r="K36" s="694">
        <f>+K32-SUM(K34:K35)</f>
        <v/>
      </c>
      <c r="L36" s="693">
        <f>+L32-SUM(L34:L35)</f>
        <v/>
      </c>
      <c r="M36" s="693">
        <f>+M32-SUM(M34:M35)</f>
        <v/>
      </c>
      <c r="N36" s="693">
        <f>+N32-SUM(N34:N35)</f>
        <v/>
      </c>
      <c r="O36" s="693">
        <f>+O32-SUM(O34:O35)</f>
        <v/>
      </c>
      <c r="P36" s="693">
        <f>+P32-SUM(P34:P35)</f>
        <v/>
      </c>
      <c r="Q36" s="693">
        <f>+Q32-SUM(Q34:Q35)</f>
        <v/>
      </c>
      <c r="R36" s="693">
        <f>+R32-SUM(R34:R35)</f>
        <v/>
      </c>
      <c r="S36" s="693">
        <f>+S32-SUM(S34:S35)</f>
        <v/>
      </c>
      <c r="T36" s="693">
        <f>+T32-SUM(T34:T35)</f>
        <v/>
      </c>
    </row>
    <row r="37" ht="14.25" customHeight="1">
      <c r="A37" s="7" t="n"/>
      <c r="C37" s="94" t="n"/>
      <c r="D37" s="95" t="n"/>
      <c r="E37" s="95" t="n"/>
      <c r="F37" s="95" t="n"/>
      <c r="G37" s="680" t="n"/>
      <c r="H37" s="680" t="n"/>
      <c r="I37" s="680" t="n"/>
      <c r="J37" s="680" t="n"/>
      <c r="K37" s="681" t="n"/>
      <c r="L37" s="680" t="n"/>
      <c r="M37" s="680" t="n"/>
      <c r="N37" s="680" t="n"/>
      <c r="O37" s="680" t="n"/>
      <c r="P37" s="680" t="n"/>
      <c r="Q37" s="680" t="n"/>
      <c r="R37" s="680" t="n"/>
      <c r="S37" s="680" t="n"/>
      <c r="T37" s="680" t="n"/>
    </row>
    <row r="38" ht="15" customHeight="1">
      <c r="A38" s="7" t="n"/>
      <c r="C38" s="316">
        <f>'Historical Financials'!$C$47</f>
        <v/>
      </c>
      <c r="D38" s="201" t="n"/>
      <c r="E38" s="201" t="n"/>
      <c r="F38" s="201" t="n"/>
      <c r="G38" s="686">
        <f>'Historical Financials'!G47/Conversion_Rate</f>
        <v/>
      </c>
      <c r="H38" s="686">
        <f>'Historical Financials'!H47/Conversion_Rate</f>
        <v/>
      </c>
      <c r="I38" s="686">
        <f>'Historical Financials'!I47/Conversion_Rate</f>
        <v/>
      </c>
      <c r="J38" s="686">
        <f>'Historical Financials'!J47/Conversion_Rate</f>
        <v/>
      </c>
      <c r="K38" s="691">
        <f>+Drivers!K72</f>
        <v/>
      </c>
      <c r="L38" s="686">
        <f>+Drivers!L72</f>
        <v/>
      </c>
      <c r="M38" s="686">
        <f>+Drivers!M72</f>
        <v/>
      </c>
      <c r="N38" s="686">
        <f>+Drivers!N72</f>
        <v/>
      </c>
      <c r="O38" s="686">
        <f>+Drivers!O72</f>
        <v/>
      </c>
      <c r="P38" s="686">
        <f>+Drivers!P72</f>
        <v/>
      </c>
      <c r="Q38" s="686">
        <f>+Drivers!Q72</f>
        <v/>
      </c>
      <c r="R38" s="686">
        <f>+Drivers!R72</f>
        <v/>
      </c>
      <c r="S38" s="686">
        <f>+Drivers!S72</f>
        <v/>
      </c>
      <c r="T38" s="686">
        <f>+Drivers!T72</f>
        <v/>
      </c>
    </row>
    <row r="39" ht="15" customHeight="1">
      <c r="A39" s="7" t="n"/>
      <c r="C39" s="465" t="inlineStr">
        <is>
          <t>Tax Rate</t>
        </is>
      </c>
      <c r="D39" s="15" t="n"/>
      <c r="E39" s="15" t="n"/>
      <c r="F39" s="15" t="n"/>
      <c r="G39" s="12">
        <f>+G38/G36</f>
        <v/>
      </c>
      <c r="H39" s="12">
        <f>+H38/H36</f>
        <v/>
      </c>
      <c r="I39" s="12">
        <f>+I38/I36</f>
        <v/>
      </c>
      <c r="J39" s="12">
        <f>+J38/J36</f>
        <v/>
      </c>
      <c r="K39" s="13">
        <f>+K38/K36</f>
        <v/>
      </c>
      <c r="L39" s="12">
        <f>+L38/L36</f>
        <v/>
      </c>
      <c r="M39" s="12">
        <f>+M38/M36</f>
        <v/>
      </c>
      <c r="N39" s="12">
        <f>+N38/N36</f>
        <v/>
      </c>
      <c r="O39" s="12">
        <f>+O38/O36</f>
        <v/>
      </c>
      <c r="P39" s="12">
        <f>+P38/P36</f>
        <v/>
      </c>
      <c r="Q39" s="12">
        <f>+Q38/Q36</f>
        <v/>
      </c>
      <c r="R39" s="12">
        <f>+R38/R36</f>
        <v/>
      </c>
      <c r="S39" s="12">
        <f>+S38/S36</f>
        <v/>
      </c>
      <c r="T39" s="12">
        <f>+T38/T36</f>
        <v/>
      </c>
    </row>
    <row r="40" ht="15" customHeight="1">
      <c r="A40" s="7" t="n"/>
      <c r="C40" s="229" t="n"/>
      <c r="D40" s="10" t="n"/>
      <c r="E40" s="10" t="n"/>
      <c r="F40" s="10" t="n"/>
      <c r="G40" s="695" t="n"/>
      <c r="H40" s="695" t="n"/>
      <c r="I40" s="695" t="n"/>
      <c r="J40" s="695" t="n"/>
      <c r="K40" s="696" t="n"/>
      <c r="L40" s="695" t="n"/>
      <c r="M40" s="695" t="n"/>
      <c r="N40" s="695" t="n"/>
      <c r="O40" s="695" t="n"/>
      <c r="P40" s="695" t="n"/>
      <c r="Q40" s="695" t="n"/>
      <c r="R40" s="695" t="n"/>
      <c r="S40" s="695" t="n"/>
      <c r="T40" s="695" t="n"/>
    </row>
    <row r="41" ht="15" customHeight="1">
      <c r="A41" s="7" t="n"/>
      <c r="C41" s="329" t="inlineStr">
        <is>
          <t>Net Income</t>
        </is>
      </c>
      <c r="D41" s="330" t="n"/>
      <c r="E41" s="330" t="n"/>
      <c r="F41" s="330" t="n"/>
      <c r="G41" s="697">
        <f>G36-G38</f>
        <v/>
      </c>
      <c r="H41" s="698">
        <f>H36-H38</f>
        <v/>
      </c>
      <c r="I41" s="698">
        <f>I36-I38</f>
        <v/>
      </c>
      <c r="J41" s="698">
        <f>J36-J38</f>
        <v/>
      </c>
      <c r="K41" s="699">
        <f>K36-K38</f>
        <v/>
      </c>
      <c r="L41" s="698">
        <f>L36-L38</f>
        <v/>
      </c>
      <c r="M41" s="698">
        <f>M36-M38</f>
        <v/>
      </c>
      <c r="N41" s="698">
        <f>N36-N38</f>
        <v/>
      </c>
      <c r="O41" s="698">
        <f>O36-O38</f>
        <v/>
      </c>
      <c r="P41" s="698">
        <f>P36-P38</f>
        <v/>
      </c>
      <c r="Q41" s="698">
        <f>Q36-Q38</f>
        <v/>
      </c>
      <c r="R41" s="698">
        <f>R36-R38</f>
        <v/>
      </c>
      <c r="S41" s="698">
        <f>S36-S38</f>
        <v/>
      </c>
      <c r="T41" s="698">
        <f>T36-T38</f>
        <v/>
      </c>
    </row>
    <row r="42" ht="15" customHeight="1">
      <c r="A42" s="7" t="n"/>
      <c r="C42" s="9" t="inlineStr">
        <is>
          <t>Profit Margin</t>
        </is>
      </c>
      <c r="D42" s="10" t="n"/>
      <c r="E42" s="10" t="n"/>
      <c r="F42" s="10" t="n"/>
      <c r="G42" s="12">
        <f>G41/G$9</f>
        <v/>
      </c>
      <c r="H42" s="12">
        <f>H41/H$9</f>
        <v/>
      </c>
      <c r="I42" s="12">
        <f>I41/I$9</f>
        <v/>
      </c>
      <c r="J42" s="12">
        <f>J41/J$9</f>
        <v/>
      </c>
      <c r="K42" s="13">
        <f>K41/K$9</f>
        <v/>
      </c>
      <c r="L42" s="12">
        <f>L41/L$9</f>
        <v/>
      </c>
      <c r="M42" s="12">
        <f>M41/M$9</f>
        <v/>
      </c>
      <c r="N42" s="12">
        <f>N41/N$9</f>
        <v/>
      </c>
      <c r="O42" s="12">
        <f>O41/O$9</f>
        <v/>
      </c>
      <c r="P42" s="12">
        <f>P41/P$9</f>
        <v/>
      </c>
      <c r="Q42" s="12">
        <f>Q41/Q$9</f>
        <v/>
      </c>
      <c r="R42" s="12">
        <f>R41/R$9</f>
        <v/>
      </c>
      <c r="S42" s="12">
        <f>S41/S$9</f>
        <v/>
      </c>
      <c r="T42" s="12">
        <f>T41/T$9</f>
        <v/>
      </c>
    </row>
    <row r="43" ht="14.25" customHeight="1">
      <c r="A43" s="7" t="n"/>
      <c r="C43" s="9" t="n"/>
      <c r="D43" s="10" t="n"/>
      <c r="E43" s="10" t="n"/>
      <c r="F43" s="10" t="n"/>
      <c r="G43" s="242" t="n"/>
      <c r="H43" s="243" t="n"/>
      <c r="I43" s="243" t="n"/>
      <c r="J43" s="243" t="n"/>
      <c r="K43" s="243" t="n"/>
      <c r="L43" s="243" t="n"/>
      <c r="M43" s="243" t="n"/>
      <c r="N43" s="243" t="n"/>
      <c r="O43" s="243" t="n"/>
      <c r="P43" s="243" t="n"/>
      <c r="Q43" s="243" t="n"/>
      <c r="R43" s="243" t="n"/>
      <c r="S43" s="243" t="n"/>
      <c r="T43" s="243" t="n"/>
    </row>
    <row r="44" ht="10.05" customHeight="1">
      <c r="A44" s="7" t="n"/>
      <c r="C44" s="95" t="n"/>
      <c r="D44" s="95" t="n"/>
      <c r="E44" s="95" t="n"/>
      <c r="F44" s="95" t="n"/>
      <c r="G44" s="95" t="n"/>
      <c r="H44" s="95" t="n"/>
      <c r="I44" s="95" t="n"/>
      <c r="J44" s="95" t="n"/>
      <c r="K44" s="95" t="n"/>
      <c r="L44" s="95" t="n"/>
      <c r="M44" s="95" t="n"/>
      <c r="N44" s="95" t="n"/>
      <c r="O44" s="95" t="n"/>
      <c r="P44" s="95" t="n"/>
      <c r="Q44" s="95" t="n"/>
      <c r="R44" s="95" t="n"/>
      <c r="S44" s="95" t="n"/>
      <c r="T44" s="95" t="n"/>
    </row>
    <row r="45" ht="10.05" customHeight="1">
      <c r="A45" s="7" t="n"/>
      <c r="C45" s="95" t="n"/>
      <c r="D45" s="95" t="n"/>
      <c r="E45" s="95" t="n"/>
      <c r="F45" s="95" t="n"/>
      <c r="G45" s="95" t="n"/>
      <c r="H45" s="95" t="n"/>
      <c r="I45" s="95" t="n"/>
      <c r="J45" s="95" t="n"/>
      <c r="K45" s="95" t="n"/>
      <c r="L45" s="95" t="n"/>
      <c r="M45" s="95" t="n"/>
      <c r="N45" s="95" t="n"/>
      <c r="O45" s="95" t="n"/>
      <c r="P45" s="95" t="n"/>
      <c r="Q45" s="95" t="n"/>
      <c r="R45" s="95" t="n"/>
      <c r="S45" s="95" t="n"/>
      <c r="T45" s="95" t="n"/>
    </row>
    <row r="46" ht="14.55" customHeight="1">
      <c r="A46" s="7" t="n"/>
      <c r="C46" s="210">
        <f>Assumptions!G$5</f>
        <v/>
      </c>
      <c r="D46" s="54" t="n"/>
      <c r="E46" s="54" t="n"/>
      <c r="F46" s="54" t="n"/>
      <c r="G46" s="54" t="n"/>
      <c r="H46" s="54" t="n"/>
      <c r="I46" s="54" t="n"/>
      <c r="J46" s="55" t="n"/>
      <c r="K46" s="54" t="n"/>
      <c r="L46" s="54" t="n"/>
      <c r="M46" s="54" t="n"/>
      <c r="N46" s="54" t="n"/>
      <c r="O46" s="54" t="n"/>
      <c r="P46" s="54" t="n"/>
      <c r="Q46" s="54" t="n"/>
      <c r="R46" s="54" t="n"/>
      <c r="S46" s="54" t="n"/>
      <c r="T46" s="55" t="n"/>
    </row>
    <row r="47" ht="14.55" customHeight="1">
      <c r="A47" s="7" t="inlineStr">
        <is>
          <t>X</t>
        </is>
      </c>
      <c r="C47" s="210" t="inlineStr">
        <is>
          <t>Balance Sheet</t>
        </is>
      </c>
      <c r="D47" s="54" t="n"/>
      <c r="E47" s="54" t="n"/>
      <c r="F47" s="54" t="n"/>
      <c r="G47" s="54" t="n"/>
      <c r="H47" s="54" t="n"/>
      <c r="I47" s="54" t="n"/>
      <c r="J47" s="211" t="inlineStr">
        <is>
          <t>FY26A / LTM</t>
        </is>
      </c>
      <c r="K47" s="54" t="n"/>
      <c r="L47" s="54" t="n"/>
      <c r="M47" s="54" t="n"/>
      <c r="N47" s="54" t="n"/>
      <c r="O47" s="54" t="n"/>
      <c r="P47" s="54" t="n"/>
      <c r="Q47" s="54" t="n"/>
      <c r="R47" s="54" t="n"/>
      <c r="S47" s="54" t="n"/>
      <c r="T47" s="55" t="n"/>
    </row>
    <row r="48" ht="14.55" customHeight="1">
      <c r="A48" s="7" t="n"/>
      <c r="C48" s="210">
        <f>Assumptions!$G$9</f>
        <v/>
      </c>
      <c r="D48" s="54" t="n"/>
      <c r="E48" s="54" t="n"/>
      <c r="F48" s="54" t="n"/>
      <c r="G48" s="54">
        <f>'Historical Financials'!G5</f>
        <v/>
      </c>
      <c r="H48" s="54">
        <f>'Historical Financials'!H5</f>
        <v/>
      </c>
      <c r="I48" s="54">
        <f>'Historical Financials'!I5</f>
        <v/>
      </c>
      <c r="J48" s="674">
        <f>'Historical Financials'!J5</f>
        <v/>
      </c>
      <c r="K48" s="54">
        <f>"FY"&amp;K$1&amp;"E"</f>
        <v/>
      </c>
      <c r="L48" s="54">
        <f>"FY"&amp;L$1&amp;"E"</f>
        <v/>
      </c>
      <c r="M48" s="54">
        <f>"FY"&amp;M$1&amp;"E"</f>
        <v/>
      </c>
      <c r="N48" s="54">
        <f>"FY"&amp;N$1&amp;"E"</f>
        <v/>
      </c>
      <c r="O48" s="54">
        <f>"FY"&amp;O$1&amp;"E"</f>
        <v/>
      </c>
      <c r="P48" s="54">
        <f>"FY"&amp;P$1&amp;"E"</f>
        <v/>
      </c>
      <c r="Q48" s="54">
        <f>"FY"&amp;Q$1&amp;"E"</f>
        <v/>
      </c>
      <c r="R48" s="54">
        <f>"FY"&amp;R$1&amp;"E"</f>
        <v/>
      </c>
      <c r="S48" s="54">
        <f>"FY"&amp;S$1&amp;"E"</f>
        <v/>
      </c>
      <c r="T48" s="55">
        <f>"FY"&amp;T$1&amp;"E"</f>
        <v/>
      </c>
    </row>
    <row r="49" ht="5" customHeight="1">
      <c r="A49" s="7" t="n"/>
      <c r="C49" s="219" t="n"/>
      <c r="D49" s="219" t="n"/>
      <c r="E49" s="219" t="n"/>
      <c r="F49" s="219" t="n"/>
      <c r="G49" s="186" t="n"/>
      <c r="H49" s="186" t="n"/>
      <c r="I49" s="186" t="n"/>
      <c r="J49" s="186" t="n"/>
      <c r="K49" s="187" t="n"/>
      <c r="L49" s="186" t="n"/>
      <c r="M49" s="186" t="n"/>
      <c r="N49" s="186" t="n"/>
      <c r="O49" s="186" t="n"/>
      <c r="P49" s="186" t="n"/>
      <c r="Q49" s="186" t="n"/>
      <c r="R49" s="186" t="n"/>
      <c r="S49" s="186" t="n"/>
      <c r="T49" s="186" t="n"/>
    </row>
    <row r="50" ht="14.25" customHeight="1">
      <c r="A50" s="7" t="n"/>
      <c r="C50" s="316">
        <f>'Historical Financials'!$C$59</f>
        <v/>
      </c>
      <c r="D50" s="201" t="n"/>
      <c r="E50" s="201" t="n"/>
      <c r="F50" s="201" t="n"/>
      <c r="G50" s="700">
        <f>+G136</f>
        <v/>
      </c>
      <c r="H50" s="700">
        <f>+H136</f>
        <v/>
      </c>
      <c r="I50" s="700">
        <f>+I136</f>
        <v/>
      </c>
      <c r="J50" s="700">
        <f>+J136</f>
        <v/>
      </c>
      <c r="K50" s="700">
        <f>+K136</f>
        <v/>
      </c>
      <c r="L50" s="700">
        <f>+L136</f>
        <v/>
      </c>
      <c r="M50" s="700">
        <f>+M136</f>
        <v/>
      </c>
      <c r="N50" s="700">
        <f>+N136</f>
        <v/>
      </c>
      <c r="O50" s="700">
        <f>+O136</f>
        <v/>
      </c>
      <c r="P50" s="700">
        <f>+P136</f>
        <v/>
      </c>
      <c r="Q50" s="700">
        <f>+Q136</f>
        <v/>
      </c>
      <c r="R50" s="700">
        <f>+R136</f>
        <v/>
      </c>
      <c r="S50" s="700">
        <f>+S136</f>
        <v/>
      </c>
      <c r="T50" s="700">
        <f>+T136</f>
        <v/>
      </c>
    </row>
    <row r="51" ht="14.25" customHeight="1">
      <c r="A51" s="7" t="n"/>
      <c r="C51" s="316">
        <f>'Historical Financials'!$C$60</f>
        <v/>
      </c>
      <c r="D51" s="201" t="n"/>
      <c r="E51" s="201" t="n"/>
      <c r="F51" s="201" t="n"/>
      <c r="G51" s="686">
        <f>'Historical Financials'!G60/Conversion_Rate</f>
        <v/>
      </c>
      <c r="H51" s="686">
        <f>'Historical Financials'!H60/Conversion_Rate</f>
        <v/>
      </c>
      <c r="I51" s="686">
        <f>'Historical Financials'!I60/Conversion_Rate</f>
        <v/>
      </c>
      <c r="J51" s="686">
        <f>'Historical Financials'!J60/Conversion_Rate</f>
        <v/>
      </c>
      <c r="K51" s="686">
        <f>+Drivers!K83</f>
        <v/>
      </c>
      <c r="L51" s="686">
        <f>+Drivers!L83</f>
        <v/>
      </c>
      <c r="M51" s="686">
        <f>+Drivers!M83</f>
        <v/>
      </c>
      <c r="N51" s="686">
        <f>+Drivers!N83</f>
        <v/>
      </c>
      <c r="O51" s="686">
        <f>+Drivers!O83</f>
        <v/>
      </c>
      <c r="P51" s="686">
        <f>+Drivers!P83</f>
        <v/>
      </c>
      <c r="Q51" s="686">
        <f>+Drivers!Q83</f>
        <v/>
      </c>
      <c r="R51" s="686">
        <f>+Drivers!R83</f>
        <v/>
      </c>
      <c r="S51" s="686">
        <f>+Drivers!S83</f>
        <v/>
      </c>
      <c r="T51" s="686">
        <f>+Drivers!T83</f>
        <v/>
      </c>
    </row>
    <row r="52" ht="14.25" customHeight="1">
      <c r="A52" s="7" t="n"/>
      <c r="C52" s="316">
        <f>'Historical Financials'!$C$61</f>
        <v/>
      </c>
      <c r="D52" s="201" t="n"/>
      <c r="E52" s="201" t="n"/>
      <c r="F52" s="201" t="n"/>
      <c r="G52" s="686">
        <f>'Historical Financials'!G61/Conversion_Rate</f>
        <v/>
      </c>
      <c r="H52" s="686">
        <f>'Historical Financials'!H61/Conversion_Rate</f>
        <v/>
      </c>
      <c r="I52" s="686">
        <f>'Historical Financials'!I61/Conversion_Rate</f>
        <v/>
      </c>
      <c r="J52" s="686">
        <f>'Historical Financials'!J61/Conversion_Rate</f>
        <v/>
      </c>
      <c r="K52" s="686">
        <f>+Drivers!K88</f>
        <v/>
      </c>
      <c r="L52" s="686">
        <f>+Drivers!L88</f>
        <v/>
      </c>
      <c r="M52" s="686">
        <f>+Drivers!M88</f>
        <v/>
      </c>
      <c r="N52" s="686">
        <f>+Drivers!N88</f>
        <v/>
      </c>
      <c r="O52" s="686">
        <f>+Drivers!O88</f>
        <v/>
      </c>
      <c r="P52" s="686">
        <f>+Drivers!P88</f>
        <v/>
      </c>
      <c r="Q52" s="686">
        <f>+Drivers!Q88</f>
        <v/>
      </c>
      <c r="R52" s="686">
        <f>+Drivers!R88</f>
        <v/>
      </c>
      <c r="S52" s="686">
        <f>+Drivers!S88</f>
        <v/>
      </c>
      <c r="T52" s="686">
        <f>+Drivers!T88</f>
        <v/>
      </c>
    </row>
    <row r="53" ht="15" customHeight="1">
      <c r="A53" s="7" t="n"/>
      <c r="C53" s="316">
        <f>'Historical Financials'!$C$62</f>
        <v/>
      </c>
      <c r="D53" s="201" t="n"/>
      <c r="E53" s="201" t="n"/>
      <c r="F53" s="201" t="n"/>
      <c r="G53" s="686">
        <f>'Historical Financials'!G62/Conversion_Rate</f>
        <v/>
      </c>
      <c r="H53" s="686">
        <f>'Historical Financials'!H62/Conversion_Rate</f>
        <v/>
      </c>
      <c r="I53" s="686">
        <f>'Historical Financials'!I62/Conversion_Rate</f>
        <v/>
      </c>
      <c r="J53" s="686">
        <f>'Historical Financials'!J62/Conversion_Rate</f>
        <v/>
      </c>
      <c r="K53" s="686">
        <f>Drivers!K93</f>
        <v/>
      </c>
      <c r="L53" s="686">
        <f>Drivers!L93</f>
        <v/>
      </c>
      <c r="M53" s="686">
        <f>Drivers!M93</f>
        <v/>
      </c>
      <c r="N53" s="686">
        <f>Drivers!N93</f>
        <v/>
      </c>
      <c r="O53" s="686">
        <f>Drivers!O93</f>
        <v/>
      </c>
      <c r="P53" s="686">
        <f>Drivers!P93</f>
        <v/>
      </c>
      <c r="Q53" s="686">
        <f>Drivers!Q93</f>
        <v/>
      </c>
      <c r="R53" s="686">
        <f>Drivers!R93</f>
        <v/>
      </c>
      <c r="S53" s="686">
        <f>Drivers!S93</f>
        <v/>
      </c>
      <c r="T53" s="686">
        <f>Drivers!T93</f>
        <v/>
      </c>
    </row>
    <row r="54" ht="15" customHeight="1">
      <c r="A54" s="7" t="n"/>
      <c r="C54" s="320">
        <f>'Historical Financials'!$C$63</f>
        <v/>
      </c>
      <c r="D54" s="321" t="n"/>
      <c r="E54" s="321" t="n"/>
      <c r="F54" s="321" t="n"/>
      <c r="G54" s="676">
        <f>'Historical Financials'!G63/Conversion_Rate</f>
        <v/>
      </c>
      <c r="H54" s="676">
        <f>'Historical Financials'!H63/Conversion_Rate</f>
        <v/>
      </c>
      <c r="I54" s="676">
        <f>'Historical Financials'!I63/Conversion_Rate</f>
        <v/>
      </c>
      <c r="J54" s="676">
        <f>'Historical Financials'!J63/Conversion_Rate</f>
        <v/>
      </c>
      <c r="K54" s="677">
        <f>+Drivers!K98</f>
        <v/>
      </c>
      <c r="L54" s="676">
        <f>+Drivers!L98</f>
        <v/>
      </c>
      <c r="M54" s="676">
        <f>+Drivers!M98</f>
        <v/>
      </c>
      <c r="N54" s="676">
        <f>+Drivers!N98</f>
        <v/>
      </c>
      <c r="O54" s="676">
        <f>+Drivers!O98</f>
        <v/>
      </c>
      <c r="P54" s="676">
        <f>+Drivers!P98</f>
        <v/>
      </c>
      <c r="Q54" s="676">
        <f>+Drivers!Q98</f>
        <v/>
      </c>
      <c r="R54" s="676">
        <f>+Drivers!R98</f>
        <v/>
      </c>
      <c r="S54" s="676">
        <f>+Drivers!S98</f>
        <v/>
      </c>
      <c r="T54" s="676">
        <f>+Drivers!T98</f>
        <v/>
      </c>
    </row>
    <row r="55" ht="14.25" customHeight="1">
      <c r="A55" s="7" t="n"/>
      <c r="C55" s="127" t="inlineStr">
        <is>
          <t>Total Current Assets</t>
        </is>
      </c>
      <c r="D55" s="127" t="n"/>
      <c r="E55" s="127" t="n"/>
      <c r="F55" s="127" t="n"/>
      <c r="G55" s="693">
        <f>SUM(G50:G54)</f>
        <v/>
      </c>
      <c r="H55" s="693">
        <f>SUM(H50:H54)</f>
        <v/>
      </c>
      <c r="I55" s="693">
        <f>SUM(I50:I54)</f>
        <v/>
      </c>
      <c r="J55" s="693">
        <f>SUM(J50:J54)</f>
        <v/>
      </c>
      <c r="K55" s="694">
        <f>SUM(K50:K54)</f>
        <v/>
      </c>
      <c r="L55" s="693">
        <f>SUM(L50:L54)</f>
        <v/>
      </c>
      <c r="M55" s="693">
        <f>SUM(M50:M54)</f>
        <v/>
      </c>
      <c r="N55" s="693">
        <f>SUM(N50:N54)</f>
        <v/>
      </c>
      <c r="O55" s="693">
        <f>SUM(O50:O54)</f>
        <v/>
      </c>
      <c r="P55" s="693">
        <f>SUM(P50:P54)</f>
        <v/>
      </c>
      <c r="Q55" s="693">
        <f>SUM(Q50:Q54)</f>
        <v/>
      </c>
      <c r="R55" s="693">
        <f>SUM(R50:R54)</f>
        <v/>
      </c>
      <c r="S55" s="693">
        <f>SUM(S50:S54)</f>
        <v/>
      </c>
      <c r="T55" s="693">
        <f>SUM(T50:T54)</f>
        <v/>
      </c>
    </row>
    <row r="56" ht="14.25" customHeight="1">
      <c r="A56" s="7" t="n"/>
      <c r="C56" s="95" t="n"/>
      <c r="D56" s="95" t="n"/>
      <c r="E56" s="95" t="n"/>
      <c r="F56" s="95" t="n"/>
      <c r="G56" s="258" t="n"/>
      <c r="H56" s="258" t="n"/>
      <c r="I56" s="258" t="n"/>
      <c r="J56" s="258" t="n"/>
      <c r="K56" s="259" t="n"/>
      <c r="L56" s="258" t="n"/>
      <c r="M56" s="258" t="n"/>
      <c r="N56" s="258" t="n"/>
      <c r="O56" s="258" t="n"/>
      <c r="P56" s="258" t="n"/>
      <c r="Q56" s="258" t="n"/>
      <c r="R56" s="258" t="n"/>
      <c r="S56" s="258" t="n"/>
      <c r="T56" s="258" t="n"/>
    </row>
    <row r="57" outlineLevel="1" ht="14.25" customHeight="1">
      <c r="A57" s="7" t="n"/>
      <c r="C57" s="316">
        <f>'Historical Financials'!C66</f>
        <v/>
      </c>
      <c r="D57" s="95" t="n"/>
      <c r="E57" s="95" t="n"/>
      <c r="F57" s="95" t="n"/>
      <c r="G57" s="675">
        <f>'Historical Financials'!G66/Conversion_Rate</f>
        <v/>
      </c>
      <c r="H57" s="675">
        <f>'Historical Financials'!H66/Conversion_Rate</f>
        <v/>
      </c>
      <c r="I57" s="675">
        <f>'Historical Financials'!I66/Conversion_Rate</f>
        <v/>
      </c>
      <c r="J57" s="675">
        <f>'Historical Financials'!J66/Conversion_Rate</f>
        <v/>
      </c>
      <c r="K57" s="682">
        <f>+J57-K118</f>
        <v/>
      </c>
      <c r="L57" s="682">
        <f>+K57-L118</f>
        <v/>
      </c>
      <c r="M57" s="682">
        <f>+L57-M118</f>
        <v/>
      </c>
      <c r="N57" s="682">
        <f>+M57-N118</f>
        <v/>
      </c>
      <c r="O57" s="682">
        <f>+N57-O118</f>
        <v/>
      </c>
      <c r="P57" s="682">
        <f>+O57-P118</f>
        <v/>
      </c>
      <c r="Q57" s="682">
        <f>+P57-Q118</f>
        <v/>
      </c>
      <c r="R57" s="682">
        <f>+Q57-R118</f>
        <v/>
      </c>
      <c r="S57" s="682">
        <f>+R57-S118</f>
        <v/>
      </c>
      <c r="T57" s="682">
        <f>+S57-T118</f>
        <v/>
      </c>
    </row>
    <row r="58" outlineLevel="1" ht="15" customHeight="1">
      <c r="A58" s="7" t="n"/>
      <c r="C58" s="320">
        <f>'Historical Financials'!C67</f>
        <v/>
      </c>
      <c r="D58" s="327" t="n"/>
      <c r="E58" s="327" t="n"/>
      <c r="F58" s="327" t="n"/>
      <c r="G58" s="676">
        <f>'Historical Financials'!G67/Conversion_Rate</f>
        <v/>
      </c>
      <c r="H58" s="676">
        <f>'Historical Financials'!H67/Conversion_Rate</f>
        <v/>
      </c>
      <c r="I58" s="676">
        <f>'Historical Financials'!I67/Conversion_Rate</f>
        <v/>
      </c>
      <c r="J58" s="676">
        <f>'Historical Financials'!J67/Conversion_Rate</f>
        <v/>
      </c>
      <c r="K58" s="684">
        <f>+J58-K30</f>
        <v/>
      </c>
      <c r="L58" s="683">
        <f>+K58-L30</f>
        <v/>
      </c>
      <c r="M58" s="683">
        <f>+L58-M30</f>
        <v/>
      </c>
      <c r="N58" s="683">
        <f>+M58-N30</f>
        <v/>
      </c>
      <c r="O58" s="683">
        <f>+N58-O30</f>
        <v/>
      </c>
      <c r="P58" s="683">
        <f>+O58-P30</f>
        <v/>
      </c>
      <c r="Q58" s="683">
        <f>+P58-Q30</f>
        <v/>
      </c>
      <c r="R58" s="683">
        <f>+Q58-R30</f>
        <v/>
      </c>
      <c r="S58" s="683">
        <f>+R58-S30</f>
        <v/>
      </c>
      <c r="T58" s="683">
        <f>+S58-T30</f>
        <v/>
      </c>
    </row>
    <row r="59" ht="14.25" customHeight="1">
      <c r="A59" s="7" t="n"/>
      <c r="C59" s="129">
        <f>'Historical Financials'!C68</f>
        <v/>
      </c>
      <c r="D59" s="129" t="n"/>
      <c r="E59" s="129" t="n"/>
      <c r="F59" s="129" t="n"/>
      <c r="G59" s="678">
        <f>SUM(G57:G58)</f>
        <v/>
      </c>
      <c r="H59" s="678">
        <f>SUM(H57:H58)</f>
        <v/>
      </c>
      <c r="I59" s="678">
        <f>SUM(I57:I58)</f>
        <v/>
      </c>
      <c r="J59" s="678">
        <f>SUM(J57:J58)</f>
        <v/>
      </c>
      <c r="K59" s="679">
        <f>SUM(K57:K58)</f>
        <v/>
      </c>
      <c r="L59" s="678">
        <f>SUM(L57:L58)</f>
        <v/>
      </c>
      <c r="M59" s="678">
        <f>SUM(M57:M58)</f>
        <v/>
      </c>
      <c r="N59" s="678">
        <f>SUM(N57:N58)</f>
        <v/>
      </c>
      <c r="O59" s="678">
        <f>SUM(O57:O58)</f>
        <v/>
      </c>
      <c r="P59" s="678">
        <f>SUM(P57:P58)</f>
        <v/>
      </c>
      <c r="Q59" s="678">
        <f>SUM(Q57:Q58)</f>
        <v/>
      </c>
      <c r="R59" s="678">
        <f>SUM(R57:R58)</f>
        <v/>
      </c>
      <c r="S59" s="678">
        <f>SUM(S57:S58)</f>
        <v/>
      </c>
      <c r="T59" s="678">
        <f>SUM(T57:T58)</f>
        <v/>
      </c>
    </row>
    <row r="60" ht="14.25" customHeight="1">
      <c r="A60" s="7" t="n"/>
      <c r="C60" s="95" t="n"/>
      <c r="D60" s="95" t="n"/>
      <c r="E60" s="95" t="n"/>
      <c r="F60" s="95" t="n"/>
      <c r="G60" s="258" t="n"/>
      <c r="H60" s="258" t="n"/>
      <c r="I60" s="258" t="n"/>
      <c r="J60" s="258" t="n"/>
      <c r="K60" s="259" t="n"/>
      <c r="L60" s="258" t="n"/>
      <c r="M60" s="258" t="n"/>
      <c r="N60" s="258" t="n"/>
      <c r="O60" s="258" t="n"/>
      <c r="P60" s="258" t="n"/>
      <c r="Q60" s="258" t="n"/>
      <c r="R60" s="258" t="n"/>
      <c r="S60" s="258" t="n"/>
      <c r="T60" s="258" t="n"/>
    </row>
    <row r="61" outlineLevel="1" ht="14.25" customHeight="1">
      <c r="A61" s="7" t="n"/>
      <c r="C61" s="316">
        <f>'Historical Financials'!C71</f>
        <v/>
      </c>
      <c r="D61" s="95" t="n"/>
      <c r="E61" s="95" t="n"/>
      <c r="F61" s="95" t="n"/>
      <c r="G61" s="675">
        <f>'Historical Financials'!G71/Conversion_Rate</f>
        <v/>
      </c>
      <c r="H61" s="675">
        <f>'Historical Financials'!H71/Conversion_Rate</f>
        <v/>
      </c>
      <c r="I61" s="675">
        <f>'Historical Financials'!I71/Conversion_Rate</f>
        <v/>
      </c>
      <c r="J61" s="675">
        <f>'Historical Financials'!J71/Conversion_Rate</f>
        <v/>
      </c>
      <c r="K61" s="682">
        <f>+J61-K119</f>
        <v/>
      </c>
      <c r="L61" s="682">
        <f>+K61-L119</f>
        <v/>
      </c>
      <c r="M61" s="682">
        <f>+L61-M119</f>
        <v/>
      </c>
      <c r="N61" s="682">
        <f>+M61-N119</f>
        <v/>
      </c>
      <c r="O61" s="682">
        <f>+N61-O119</f>
        <v/>
      </c>
      <c r="P61" s="682">
        <f>+O61-P119</f>
        <v/>
      </c>
      <c r="Q61" s="682">
        <f>+P61-Q119</f>
        <v/>
      </c>
      <c r="R61" s="682">
        <f>+Q61-R119</f>
        <v/>
      </c>
      <c r="S61" s="682">
        <f>+R61-S119</f>
        <v/>
      </c>
      <c r="T61" s="682">
        <f>+S61-T119</f>
        <v/>
      </c>
    </row>
    <row r="62" outlineLevel="1" ht="14.25" customHeight="1">
      <c r="A62" s="7" t="n"/>
      <c r="C62" s="320">
        <f>'Historical Financials'!C72</f>
        <v/>
      </c>
      <c r="D62" s="327" t="n"/>
      <c r="E62" s="327" t="n"/>
      <c r="F62" s="327" t="n"/>
      <c r="G62" s="676">
        <f>'Historical Financials'!G72/Conversion_Rate</f>
        <v/>
      </c>
      <c r="H62" s="676">
        <f>'Historical Financials'!H72/Conversion_Rate</f>
        <v/>
      </c>
      <c r="I62" s="676">
        <f>'Historical Financials'!I72/Conversion_Rate</f>
        <v/>
      </c>
      <c r="J62" s="676">
        <f>'Historical Financials'!J72/Conversion_Rate</f>
        <v/>
      </c>
      <c r="K62" s="684">
        <f>+J62-K31</f>
        <v/>
      </c>
      <c r="L62" s="683">
        <f>+K62-L31</f>
        <v/>
      </c>
      <c r="M62" s="683">
        <f>+L62-M31</f>
        <v/>
      </c>
      <c r="N62" s="683">
        <f>+M62-N31</f>
        <v/>
      </c>
      <c r="O62" s="683">
        <f>+N62-O31</f>
        <v/>
      </c>
      <c r="P62" s="683">
        <f>+O62-P31</f>
        <v/>
      </c>
      <c r="Q62" s="683">
        <f>+P62-Q31</f>
        <v/>
      </c>
      <c r="R62" s="683">
        <f>+Q62-R31</f>
        <v/>
      </c>
      <c r="S62" s="683">
        <f>+R62-S31</f>
        <v/>
      </c>
      <c r="T62" s="683">
        <f>+S62-T31</f>
        <v/>
      </c>
    </row>
    <row r="63" ht="14.25" customHeight="1">
      <c r="A63" s="7" t="n"/>
      <c r="C63" s="129">
        <f>'Historical Financials'!C73</f>
        <v/>
      </c>
      <c r="D63" s="129" t="n"/>
      <c r="E63" s="129" t="n"/>
      <c r="F63" s="129" t="n"/>
      <c r="G63" s="678">
        <f>SUM(G61:G62)</f>
        <v/>
      </c>
      <c r="H63" s="678">
        <f>SUM(H61:H62)</f>
        <v/>
      </c>
      <c r="I63" s="678">
        <f>SUM(I61:I62)</f>
        <v/>
      </c>
      <c r="J63" s="678">
        <f>SUM(J61:J62)</f>
        <v/>
      </c>
      <c r="K63" s="679">
        <f>SUM(K61:K62)</f>
        <v/>
      </c>
      <c r="L63" s="678">
        <f>SUM(L61:L62)</f>
        <v/>
      </c>
      <c r="M63" s="678">
        <f>SUM(M61:M62)</f>
        <v/>
      </c>
      <c r="N63" s="678">
        <f>SUM(N61:N62)</f>
        <v/>
      </c>
      <c r="O63" s="678">
        <f>SUM(O61:O62)</f>
        <v/>
      </c>
      <c r="P63" s="678">
        <f>SUM(P61:P62)</f>
        <v/>
      </c>
      <c r="Q63" s="678">
        <f>SUM(Q61:Q62)</f>
        <v/>
      </c>
      <c r="R63" s="678">
        <f>SUM(R61:R62)</f>
        <v/>
      </c>
      <c r="S63" s="678">
        <f>SUM(S61:S62)</f>
        <v/>
      </c>
      <c r="T63" s="678">
        <f>SUM(T61:T62)</f>
        <v/>
      </c>
    </row>
    <row r="64" ht="14.25" customHeight="1">
      <c r="A64" s="7" t="n"/>
      <c r="C64" s="95" t="n"/>
      <c r="D64" s="95" t="n"/>
      <c r="E64" s="95" t="n"/>
      <c r="F64" s="95" t="n"/>
      <c r="G64" s="258" t="n"/>
      <c r="H64" s="258" t="n"/>
      <c r="I64" s="258" t="n"/>
      <c r="J64" s="258" t="n"/>
      <c r="K64" s="259" t="n"/>
      <c r="L64" s="258" t="n"/>
      <c r="M64" s="258" t="n"/>
      <c r="N64" s="258" t="n"/>
      <c r="O64" s="258" t="n"/>
      <c r="P64" s="258" t="n"/>
      <c r="Q64" s="258" t="n"/>
      <c r="R64" s="258" t="n"/>
      <c r="S64" s="258" t="n"/>
      <c r="T64" s="258" t="n"/>
    </row>
    <row r="65" ht="14.25" customHeight="1">
      <c r="A65" s="7" t="n"/>
      <c r="C65" s="316">
        <f>'Historical Financials'!$C$76</f>
        <v/>
      </c>
      <c r="D65" s="201" t="n"/>
      <c r="E65" s="201" t="n"/>
      <c r="F65" s="201" t="n"/>
      <c r="G65" s="686">
        <f>'Historical Financials'!G76/Conversion_Rate</f>
        <v/>
      </c>
      <c r="H65" s="686">
        <f>'Historical Financials'!H76/Conversion_Rate</f>
        <v/>
      </c>
      <c r="I65" s="686">
        <f>'Historical Financials'!I76/Conversion_Rate</f>
        <v/>
      </c>
      <c r="J65" s="686">
        <f>'Historical Financials'!J76/Conversion_Rate</f>
        <v/>
      </c>
      <c r="K65" s="691">
        <f>+Drivers!K103</f>
        <v/>
      </c>
      <c r="L65" s="686">
        <f>+Drivers!L103</f>
        <v/>
      </c>
      <c r="M65" s="686">
        <f>+Drivers!M103</f>
        <v/>
      </c>
      <c r="N65" s="686">
        <f>+Drivers!N103</f>
        <v/>
      </c>
      <c r="O65" s="686">
        <f>+Drivers!O103</f>
        <v/>
      </c>
      <c r="P65" s="686">
        <f>+Drivers!P103</f>
        <v/>
      </c>
      <c r="Q65" s="686">
        <f>+Drivers!Q103</f>
        <v/>
      </c>
      <c r="R65" s="686">
        <f>+Drivers!R103</f>
        <v/>
      </c>
      <c r="S65" s="686">
        <f>+Drivers!S103</f>
        <v/>
      </c>
      <c r="T65" s="686">
        <f>+Drivers!T103</f>
        <v/>
      </c>
    </row>
    <row r="66" ht="15" customHeight="1">
      <c r="A66" s="7" t="n"/>
      <c r="C66" s="95" t="n"/>
      <c r="D66" s="95" t="n"/>
      <c r="E66" s="95" t="n"/>
      <c r="F66" s="95" t="n"/>
      <c r="G66" s="258" t="n"/>
      <c r="H66" s="258" t="n"/>
      <c r="I66" s="258" t="n"/>
      <c r="J66" s="258" t="n"/>
      <c r="K66" s="259" t="n"/>
      <c r="L66" s="258" t="n"/>
      <c r="M66" s="258" t="n"/>
      <c r="N66" s="258" t="n"/>
      <c r="O66" s="258" t="n"/>
      <c r="P66" s="258" t="n"/>
      <c r="Q66" s="258" t="n"/>
      <c r="R66" s="258" t="n"/>
      <c r="S66" s="258" t="n"/>
      <c r="T66" s="258" t="n"/>
    </row>
    <row r="67" ht="14.25" customHeight="1">
      <c r="A67" s="7" t="n"/>
      <c r="C67" s="339" t="inlineStr">
        <is>
          <t>Total Assets</t>
        </is>
      </c>
      <c r="D67" s="339" t="n"/>
      <c r="E67" s="339" t="n"/>
      <c r="F67" s="339" t="n"/>
      <c r="G67" s="701">
        <f>SUM(G65,G59,G55,G63)</f>
        <v/>
      </c>
      <c r="H67" s="701">
        <f>SUM(H65,H59,H55,H63)</f>
        <v/>
      </c>
      <c r="I67" s="701">
        <f>SUM(I65,I59,I55,I63)</f>
        <v/>
      </c>
      <c r="J67" s="701">
        <f>SUM(J65,J59,J55,J63)</f>
        <v/>
      </c>
      <c r="K67" s="702">
        <f>SUM(K65,K59,K55,K63)</f>
        <v/>
      </c>
      <c r="L67" s="701">
        <f>SUM(L65,L59,L55,L63)</f>
        <v/>
      </c>
      <c r="M67" s="701">
        <f>SUM(M65,M59,M55,M63)</f>
        <v/>
      </c>
      <c r="N67" s="701">
        <f>SUM(N65,N59,N55,N63)</f>
        <v/>
      </c>
      <c r="O67" s="701">
        <f>SUM(O65,O59,O55,O63)</f>
        <v/>
      </c>
      <c r="P67" s="701">
        <f>SUM(P65,P59,P55,P63)</f>
        <v/>
      </c>
      <c r="Q67" s="701">
        <f>SUM(Q65,Q59,Q55,Q63)</f>
        <v/>
      </c>
      <c r="R67" s="701">
        <f>SUM(R65,R59,R55,R63)</f>
        <v/>
      </c>
      <c r="S67" s="701">
        <f>SUM(S65,S59,S55,S63)</f>
        <v/>
      </c>
      <c r="T67" s="701">
        <f>SUM(T65,T59,T55,T63)</f>
        <v/>
      </c>
    </row>
    <row r="68" ht="14.25" customHeight="1">
      <c r="A68" s="7" t="n"/>
      <c r="C68" s="95" t="n"/>
      <c r="D68" s="95" t="n"/>
      <c r="E68" s="95" t="n"/>
      <c r="F68" s="95" t="n"/>
      <c r="G68" s="258" t="n"/>
      <c r="H68" s="258" t="n"/>
      <c r="I68" s="258" t="n"/>
      <c r="J68" s="258" t="n"/>
      <c r="K68" s="258" t="n"/>
      <c r="L68" s="258" t="n"/>
      <c r="M68" s="258" t="n"/>
      <c r="N68" s="258" t="n"/>
      <c r="O68" s="258" t="n"/>
      <c r="P68" s="258" t="n"/>
      <c r="Q68" s="258" t="n"/>
      <c r="R68" s="258" t="n"/>
      <c r="S68" s="258" t="n"/>
      <c r="T68" s="258" t="n"/>
    </row>
    <row r="69" ht="14.25" customHeight="1">
      <c r="A69" s="7" t="n"/>
      <c r="C69" s="316">
        <f>'Historical Financials'!$C$82</f>
        <v/>
      </c>
      <c r="D69" s="201" t="n"/>
      <c r="E69" s="201" t="n"/>
      <c r="F69" s="201" t="n"/>
      <c r="G69" s="675">
        <f>'Historical Financials'!G82/Conversion_Rate</f>
        <v/>
      </c>
      <c r="H69" s="675">
        <f>'Historical Financials'!H82/Conversion_Rate</f>
        <v/>
      </c>
      <c r="I69" s="675">
        <f>'Historical Financials'!I82/Conversion_Rate</f>
        <v/>
      </c>
      <c r="J69" s="675">
        <f>'Historical Financials'!J82/Conversion_Rate</f>
        <v/>
      </c>
      <c r="K69" s="675">
        <f>+Drivers!K109</f>
        <v/>
      </c>
      <c r="L69" s="675">
        <f>+Drivers!L109</f>
        <v/>
      </c>
      <c r="M69" s="675">
        <f>+Drivers!M109</f>
        <v/>
      </c>
      <c r="N69" s="675">
        <f>+Drivers!N109</f>
        <v/>
      </c>
      <c r="O69" s="675">
        <f>+Drivers!O109</f>
        <v/>
      </c>
      <c r="P69" s="675">
        <f>+Drivers!P109</f>
        <v/>
      </c>
      <c r="Q69" s="675">
        <f>+Drivers!Q109</f>
        <v/>
      </c>
      <c r="R69" s="675">
        <f>+Drivers!R109</f>
        <v/>
      </c>
      <c r="S69" s="675">
        <f>+Drivers!S109</f>
        <v/>
      </c>
      <c r="T69" s="675">
        <f>+Drivers!T109</f>
        <v/>
      </c>
    </row>
    <row r="70" ht="14.25" customHeight="1">
      <c r="A70" s="7" t="n"/>
      <c r="C70" s="316">
        <f>'Historical Financials'!$C$83</f>
        <v/>
      </c>
      <c r="D70" s="201" t="n"/>
      <c r="E70" s="201" t="n"/>
      <c r="F70" s="201" t="n"/>
      <c r="G70" s="686">
        <f>'Historical Financials'!G83/Conversion_Rate</f>
        <v/>
      </c>
      <c r="H70" s="686">
        <f>'Historical Financials'!H83/Conversion_Rate</f>
        <v/>
      </c>
      <c r="I70" s="686">
        <f>'Historical Financials'!I83/Conversion_Rate</f>
        <v/>
      </c>
      <c r="J70" s="686">
        <f>'Historical Financials'!J83/Conversion_Rate</f>
        <v/>
      </c>
      <c r="K70" s="686">
        <f>+Drivers!K114</f>
        <v/>
      </c>
      <c r="L70" s="686">
        <f>+Drivers!L114</f>
        <v/>
      </c>
      <c r="M70" s="686">
        <f>+Drivers!M114</f>
        <v/>
      </c>
      <c r="N70" s="686">
        <f>+Drivers!N114</f>
        <v/>
      </c>
      <c r="O70" s="686">
        <f>+Drivers!O114</f>
        <v/>
      </c>
      <c r="P70" s="686">
        <f>+Drivers!P114</f>
        <v/>
      </c>
      <c r="Q70" s="686">
        <f>+Drivers!Q114</f>
        <v/>
      </c>
      <c r="R70" s="686">
        <f>+Drivers!R114</f>
        <v/>
      </c>
      <c r="S70" s="686">
        <f>+Drivers!S114</f>
        <v/>
      </c>
      <c r="T70" s="686">
        <f>+Drivers!T114</f>
        <v/>
      </c>
    </row>
    <row r="71" ht="14.25" customHeight="1">
      <c r="A71" s="7" t="n"/>
      <c r="C71" s="316">
        <f>'Historical Financials'!$C$84</f>
        <v/>
      </c>
      <c r="D71" s="201" t="n"/>
      <c r="E71" s="201" t="n"/>
      <c r="F71" s="201" t="n"/>
      <c r="G71" s="686">
        <f>'Historical Financials'!G84/Conversion_Rate</f>
        <v/>
      </c>
      <c r="H71" s="686">
        <f>'Historical Financials'!H84/Conversion_Rate</f>
        <v/>
      </c>
      <c r="I71" s="686">
        <f>'Historical Financials'!I84/Conversion_Rate</f>
        <v/>
      </c>
      <c r="J71" s="686">
        <f>'Historical Financials'!J84/Conversion_Rate</f>
        <v/>
      </c>
      <c r="K71" s="686">
        <f>+Drivers!K119</f>
        <v/>
      </c>
      <c r="L71" s="686">
        <f>+Drivers!L119</f>
        <v/>
      </c>
      <c r="M71" s="686">
        <f>+Drivers!M119</f>
        <v/>
      </c>
      <c r="N71" s="686">
        <f>+Drivers!N119</f>
        <v/>
      </c>
      <c r="O71" s="686">
        <f>+Drivers!O119</f>
        <v/>
      </c>
      <c r="P71" s="686">
        <f>+Drivers!P119</f>
        <v/>
      </c>
      <c r="Q71" s="686">
        <f>+Drivers!Q119</f>
        <v/>
      </c>
      <c r="R71" s="686">
        <f>+Drivers!R119</f>
        <v/>
      </c>
      <c r="S71" s="686">
        <f>+Drivers!S119</f>
        <v/>
      </c>
      <c r="T71" s="686">
        <f>+Drivers!T119</f>
        <v/>
      </c>
    </row>
    <row r="72" ht="15" customHeight="1">
      <c r="A72" s="7" t="n"/>
      <c r="C72" s="316">
        <f>'Historical Financials'!$C$85</f>
        <v/>
      </c>
      <c r="D72" s="201" t="n"/>
      <c r="E72" s="201" t="n"/>
      <c r="F72" s="201" t="n"/>
      <c r="G72" s="686">
        <f>'Historical Financials'!G85/Conversion_Rate</f>
        <v/>
      </c>
      <c r="H72" s="686">
        <f>'Historical Financials'!H85/Conversion_Rate</f>
        <v/>
      </c>
      <c r="I72" s="686">
        <f>'Historical Financials'!I85/Conversion_Rate</f>
        <v/>
      </c>
      <c r="J72" s="686">
        <f>'Historical Financials'!J85/Conversion_Rate</f>
        <v/>
      </c>
      <c r="K72" s="691">
        <f>+Drivers!K124</f>
        <v/>
      </c>
      <c r="L72" s="686">
        <f>+Drivers!L124</f>
        <v/>
      </c>
      <c r="M72" s="686">
        <f>+Drivers!M124</f>
        <v/>
      </c>
      <c r="N72" s="686">
        <f>+Drivers!N124</f>
        <v/>
      </c>
      <c r="O72" s="686">
        <f>+Drivers!O124</f>
        <v/>
      </c>
      <c r="P72" s="686">
        <f>+Drivers!P124</f>
        <v/>
      </c>
      <c r="Q72" s="686">
        <f>+Drivers!Q124</f>
        <v/>
      </c>
      <c r="R72" s="686">
        <f>+Drivers!R124</f>
        <v/>
      </c>
      <c r="S72" s="686">
        <f>+Drivers!S124</f>
        <v/>
      </c>
      <c r="T72" s="686">
        <f>+Drivers!T124</f>
        <v/>
      </c>
    </row>
    <row r="73" ht="14.25" customHeight="1">
      <c r="A73" s="7" t="n"/>
      <c r="C73" s="127" t="inlineStr">
        <is>
          <t>Total Current Liabilities</t>
        </is>
      </c>
      <c r="D73" s="127" t="n"/>
      <c r="E73" s="127" t="n"/>
      <c r="F73" s="127" t="n"/>
      <c r="G73" s="693">
        <f>SUM(G69:G72)</f>
        <v/>
      </c>
      <c r="H73" s="693">
        <f>SUM(H69:H72)</f>
        <v/>
      </c>
      <c r="I73" s="693">
        <f>SUM(I69:I72)</f>
        <v/>
      </c>
      <c r="J73" s="693">
        <f>SUM(J69:J72)</f>
        <v/>
      </c>
      <c r="K73" s="694">
        <f>SUM(K69:K72)</f>
        <v/>
      </c>
      <c r="L73" s="693">
        <f>SUM(L69:L72)</f>
        <v/>
      </c>
      <c r="M73" s="693">
        <f>SUM(M69:M72)</f>
        <v/>
      </c>
      <c r="N73" s="693">
        <f>SUM(N69:N72)</f>
        <v/>
      </c>
      <c r="O73" s="693">
        <f>SUM(O69:O72)</f>
        <v/>
      </c>
      <c r="P73" s="693">
        <f>SUM(P69:P72)</f>
        <v/>
      </c>
      <c r="Q73" s="693">
        <f>SUM(Q69:Q72)</f>
        <v/>
      </c>
      <c r="R73" s="693">
        <f>SUM(R69:R72)</f>
        <v/>
      </c>
      <c r="S73" s="693">
        <f>SUM(S69:S72)</f>
        <v/>
      </c>
      <c r="T73" s="693">
        <f>SUM(T69:T72)</f>
        <v/>
      </c>
    </row>
    <row r="74" ht="14.25" customHeight="1">
      <c r="A74" s="7" t="n"/>
      <c r="C74" s="95" t="n"/>
      <c r="D74" s="95" t="n"/>
      <c r="E74" s="95" t="n"/>
      <c r="F74" s="95" t="n"/>
      <c r="G74" s="703" t="n"/>
      <c r="H74" s="703" t="n"/>
      <c r="I74" s="703" t="n"/>
      <c r="J74" s="703" t="n"/>
      <c r="K74" s="704" t="n"/>
      <c r="L74" s="703" t="n"/>
      <c r="M74" s="703" t="n"/>
      <c r="N74" s="703" t="n"/>
      <c r="O74" s="703" t="n"/>
      <c r="P74" s="703" t="n"/>
      <c r="Q74" s="703" t="n"/>
      <c r="R74" s="703" t="n"/>
      <c r="S74" s="703" t="n"/>
      <c r="T74" s="703" t="n"/>
    </row>
    <row r="75" ht="14.25" customHeight="1">
      <c r="A75" s="7" t="n"/>
      <c r="C75" s="316">
        <f>'Historical Financials'!$C$88</f>
        <v/>
      </c>
      <c r="D75" s="95" t="n"/>
      <c r="E75" s="95" t="n"/>
      <c r="F75" s="95" t="n"/>
      <c r="G75" s="675">
        <f>'Historical Financials'!G88/Conversion_Rate</f>
        <v/>
      </c>
      <c r="H75" s="675">
        <f>'Historical Financials'!H88/Conversion_Rate</f>
        <v/>
      </c>
      <c r="I75" s="675">
        <f>'Historical Financials'!I88/Conversion_Rate</f>
        <v/>
      </c>
      <c r="J75" s="675">
        <f>'Historical Financials'!J88/Conversion_Rate</f>
        <v/>
      </c>
      <c r="K75" s="690">
        <f>+Drivers!K135</f>
        <v/>
      </c>
      <c r="L75" s="675">
        <f>+Drivers!L135</f>
        <v/>
      </c>
      <c r="M75" s="675">
        <f>+Drivers!M135</f>
        <v/>
      </c>
      <c r="N75" s="675">
        <f>+Drivers!N135</f>
        <v/>
      </c>
      <c r="O75" s="675">
        <f>+Drivers!O135</f>
        <v/>
      </c>
      <c r="P75" s="675">
        <f>+Drivers!P135</f>
        <v/>
      </c>
      <c r="Q75" s="675">
        <f>+Drivers!Q135</f>
        <v/>
      </c>
      <c r="R75" s="675">
        <f>+Drivers!R135</f>
        <v/>
      </c>
      <c r="S75" s="675">
        <f>+Drivers!S135</f>
        <v/>
      </c>
      <c r="T75" s="675">
        <f>+Drivers!T135</f>
        <v/>
      </c>
    </row>
    <row r="76" ht="14.25" customHeight="1">
      <c r="A76" s="7" t="n"/>
      <c r="C76" s="316">
        <f>'Historical Financials'!$C$89</f>
        <v/>
      </c>
      <c r="D76" s="95" t="n"/>
      <c r="E76" s="95" t="n"/>
      <c r="F76" s="95" t="n"/>
      <c r="G76" s="686">
        <f>'Historical Financials'!G89/Conversion_Rate</f>
        <v/>
      </c>
      <c r="H76" s="686">
        <f>'Historical Financials'!H89/Conversion_Rate</f>
        <v/>
      </c>
      <c r="I76" s="686">
        <f>'Historical Financials'!I89/Conversion_Rate</f>
        <v/>
      </c>
      <c r="J76" s="686">
        <f>'Historical Financials'!J89/Conversion_Rate</f>
        <v/>
      </c>
      <c r="K76" s="691">
        <f>+Drivers!K140</f>
        <v/>
      </c>
      <c r="L76" s="686">
        <f>+Drivers!L140</f>
        <v/>
      </c>
      <c r="M76" s="686">
        <f>+Drivers!M140</f>
        <v/>
      </c>
      <c r="N76" s="686">
        <f>+Drivers!N140</f>
        <v/>
      </c>
      <c r="O76" s="686">
        <f>+Drivers!O140</f>
        <v/>
      </c>
      <c r="P76" s="686">
        <f>+Drivers!P140</f>
        <v/>
      </c>
      <c r="Q76" s="686">
        <f>+Drivers!Q140</f>
        <v/>
      </c>
      <c r="R76" s="686">
        <f>+Drivers!R140</f>
        <v/>
      </c>
      <c r="S76" s="686">
        <f>+Drivers!S140</f>
        <v/>
      </c>
      <c r="T76" s="686">
        <f>+Drivers!T140</f>
        <v/>
      </c>
    </row>
    <row r="77" ht="14.25" customHeight="1">
      <c r="A77" s="7" t="n"/>
      <c r="C77" s="316">
        <f>'Historical Financials'!$C$90</f>
        <v/>
      </c>
      <c r="D77" s="95" t="n"/>
      <c r="E77" s="95" t="n"/>
      <c r="F77" s="95" t="n"/>
      <c r="G77" s="686">
        <f>'Historical Financials'!G90/Conversion_Rate</f>
        <v/>
      </c>
      <c r="H77" s="686">
        <f>'Historical Financials'!H90/Conversion_Rate</f>
        <v/>
      </c>
      <c r="I77" s="686">
        <f>'Historical Financials'!I90/Conversion_Rate</f>
        <v/>
      </c>
      <c r="J77" s="686">
        <f>'Historical Financials'!J90/Conversion_Rate</f>
        <v/>
      </c>
      <c r="K77" s="691">
        <f>+Drivers!K129</f>
        <v/>
      </c>
      <c r="L77" s="686">
        <f>+Drivers!L129</f>
        <v/>
      </c>
      <c r="M77" s="686">
        <f>+Drivers!M129</f>
        <v/>
      </c>
      <c r="N77" s="686">
        <f>+Drivers!N129</f>
        <v/>
      </c>
      <c r="O77" s="686">
        <f>+Drivers!O129</f>
        <v/>
      </c>
      <c r="P77" s="686">
        <f>+Drivers!P129</f>
        <v/>
      </c>
      <c r="Q77" s="686">
        <f>+Drivers!Q129</f>
        <v/>
      </c>
      <c r="R77" s="686">
        <f>+Drivers!R129</f>
        <v/>
      </c>
      <c r="S77" s="686">
        <f>+Drivers!S129</f>
        <v/>
      </c>
      <c r="T77" s="686">
        <f>+Drivers!T129</f>
        <v/>
      </c>
    </row>
    <row r="78" ht="15" customHeight="1">
      <c r="A78" s="7" t="n"/>
      <c r="C78" s="95" t="n"/>
      <c r="D78" s="95" t="n"/>
      <c r="E78" s="95" t="n"/>
      <c r="F78" s="95" t="n"/>
      <c r="G78" s="703" t="n"/>
      <c r="H78" s="703" t="n"/>
      <c r="I78" s="703" t="n"/>
      <c r="J78" s="703" t="n"/>
      <c r="K78" s="704" t="n"/>
      <c r="L78" s="703" t="n"/>
      <c r="M78" s="703" t="n"/>
      <c r="N78" s="703" t="n"/>
      <c r="O78" s="703" t="n"/>
      <c r="P78" s="703" t="n"/>
      <c r="Q78" s="703" t="n"/>
      <c r="R78" s="703" t="n"/>
      <c r="S78" s="703" t="n"/>
      <c r="T78" s="703" t="n"/>
    </row>
    <row r="79" ht="15" customHeight="1">
      <c r="A79" s="7" t="n"/>
      <c r="C79" s="127" t="inlineStr">
        <is>
          <t>Total Liabilities</t>
        </is>
      </c>
      <c r="D79" s="127" t="n"/>
      <c r="E79" s="127" t="n"/>
      <c r="F79" s="127" t="n"/>
      <c r="G79" s="693">
        <f>SUM(G73:G78)</f>
        <v/>
      </c>
      <c r="H79" s="693">
        <f>SUM(H73:H78)</f>
        <v/>
      </c>
      <c r="I79" s="693">
        <f>SUM(I73:I78)</f>
        <v/>
      </c>
      <c r="J79" s="693">
        <f>SUM(J73:J78)</f>
        <v/>
      </c>
      <c r="K79" s="694">
        <f>SUM(K73:K78)</f>
        <v/>
      </c>
      <c r="L79" s="693">
        <f>SUM(L73:L78)</f>
        <v/>
      </c>
      <c r="M79" s="693">
        <f>SUM(M73:M78)</f>
        <v/>
      </c>
      <c r="N79" s="693">
        <f>SUM(N73:N78)</f>
        <v/>
      </c>
      <c r="O79" s="693">
        <f>SUM(O73:O78)</f>
        <v/>
      </c>
      <c r="P79" s="693">
        <f>SUM(P73:P78)</f>
        <v/>
      </c>
      <c r="Q79" s="693">
        <f>SUM(Q73:Q78)</f>
        <v/>
      </c>
      <c r="R79" s="693">
        <f>SUM(R73:R78)</f>
        <v/>
      </c>
      <c r="S79" s="693">
        <f>SUM(S73:S78)</f>
        <v/>
      </c>
      <c r="T79" s="693">
        <f>SUM(T73:T78)</f>
        <v/>
      </c>
    </row>
    <row r="80" ht="15" customHeight="1">
      <c r="A80" s="7" t="n"/>
      <c r="C80" s="129" t="n"/>
      <c r="D80" s="129" t="n"/>
      <c r="E80" s="129" t="n"/>
      <c r="F80" s="129" t="n"/>
      <c r="G80" s="705" t="n"/>
      <c r="H80" s="705" t="n"/>
      <c r="I80" s="705" t="n"/>
      <c r="J80" s="705" t="n"/>
      <c r="K80" s="706" t="n"/>
      <c r="L80" s="705" t="n"/>
      <c r="M80" s="705" t="n"/>
      <c r="N80" s="705" t="n"/>
      <c r="O80" s="705" t="n"/>
      <c r="P80" s="705" t="n"/>
      <c r="Q80" s="705" t="n"/>
      <c r="R80" s="705" t="n"/>
      <c r="S80" s="705" t="n"/>
      <c r="T80" s="705" t="n"/>
    </row>
    <row r="81" outlineLevel="1" ht="14.25" customHeight="1">
      <c r="A81" s="7" t="n"/>
      <c r="C81" s="316">
        <f>'Historical Financials'!$C$95</f>
        <v/>
      </c>
      <c r="D81" s="129" t="n"/>
      <c r="E81" s="129" t="n"/>
      <c r="F81" s="129" t="n"/>
      <c r="G81" s="675">
        <f>'Historical Financials'!G95/Conversion_Rate</f>
        <v/>
      </c>
      <c r="H81" s="675">
        <f>'Historical Financials'!H95/Conversion_Rate</f>
        <v/>
      </c>
      <c r="I81" s="675">
        <f>'Historical Financials'!I95/Conversion_Rate</f>
        <v/>
      </c>
      <c r="J81" s="675">
        <f>'Historical Financials'!J95/Conversion_Rate</f>
        <v/>
      </c>
      <c r="K81" s="682">
        <f>+J81+K41+K126</f>
        <v/>
      </c>
      <c r="L81" s="682">
        <f>+K81+L41+L126</f>
        <v/>
      </c>
      <c r="M81" s="682">
        <f>+L81+M41+M126</f>
        <v/>
      </c>
      <c r="N81" s="682">
        <f>+M81+N41+N126</f>
        <v/>
      </c>
      <c r="O81" s="682">
        <f>+N81+O41+O126</f>
        <v/>
      </c>
      <c r="P81" s="682">
        <f>+O81+P41+P126</f>
        <v/>
      </c>
      <c r="Q81" s="682">
        <f>+P81+Q41+Q126</f>
        <v/>
      </c>
      <c r="R81" s="682">
        <f>+Q81+R41+R126</f>
        <v/>
      </c>
      <c r="S81" s="682">
        <f>+R81+S41+S126</f>
        <v/>
      </c>
      <c r="T81" s="682">
        <f>+S81+T41+T126</f>
        <v/>
      </c>
    </row>
    <row r="82" outlineLevel="1" ht="15" customHeight="1">
      <c r="A82" s="7" t="n"/>
      <c r="C82" s="316">
        <f>'Historical Financials'!$C$96</f>
        <v/>
      </c>
      <c r="D82" s="95" t="n"/>
      <c r="E82" s="95" t="n"/>
      <c r="F82" s="95" t="n"/>
      <c r="G82" s="686">
        <f>'Historical Financials'!G96/Conversion_Rate</f>
        <v/>
      </c>
      <c r="H82" s="686">
        <f>'Historical Financials'!H96/Conversion_Rate</f>
        <v/>
      </c>
      <c r="I82" s="686">
        <f>'Historical Financials'!I96/Conversion_Rate</f>
        <v/>
      </c>
      <c r="J82" s="686">
        <f>'Historical Financials'!J96/Conversion_Rate</f>
        <v/>
      </c>
      <c r="K82" s="628">
        <f>+J82+K125+K101+K102</f>
        <v/>
      </c>
      <c r="L82" s="628">
        <f>+K82+L125+L101+L102</f>
        <v/>
      </c>
      <c r="M82" s="628">
        <f>+L82+M125+M101+M102</f>
        <v/>
      </c>
      <c r="N82" s="628">
        <f>+M82+N125+N101+N102</f>
        <v/>
      </c>
      <c r="O82" s="628">
        <f>+N82+O125+O101+O102</f>
        <v/>
      </c>
      <c r="P82" s="628">
        <f>+O82+P125+P101+P102</f>
        <v/>
      </c>
      <c r="Q82" s="628">
        <f>+P82+Q125+Q101+Q102</f>
        <v/>
      </c>
      <c r="R82" s="628">
        <f>+Q82+R125+R101+R102</f>
        <v/>
      </c>
      <c r="S82" s="628">
        <f>+R82+S125+S101+S102</f>
        <v/>
      </c>
      <c r="T82" s="628">
        <f>+S82+T125+T101+T102</f>
        <v/>
      </c>
    </row>
    <row r="83" outlineLevel="1" ht="15" customHeight="1">
      <c r="A83" s="7" t="n"/>
      <c r="C83" s="320">
        <f>'Historical Financials'!$C$97</f>
        <v/>
      </c>
      <c r="D83" s="327" t="n"/>
      <c r="E83" s="327" t="n"/>
      <c r="F83" s="327" t="n"/>
      <c r="G83" s="676">
        <f>'Historical Financials'!G97/Conversion_Rate</f>
        <v/>
      </c>
      <c r="H83" s="676">
        <f>'Historical Financials'!H97/Conversion_Rate</f>
        <v/>
      </c>
      <c r="I83" s="676">
        <f>'Historical Financials'!I97/Conversion_Rate</f>
        <v/>
      </c>
      <c r="J83" s="676">
        <f>'Historical Financials'!J97/Conversion_Rate</f>
        <v/>
      </c>
      <c r="K83" s="677">
        <f>+Drivers!K148</f>
        <v/>
      </c>
      <c r="L83" s="676">
        <f>+Drivers!L148</f>
        <v/>
      </c>
      <c r="M83" s="676">
        <f>+Drivers!M148</f>
        <v/>
      </c>
      <c r="N83" s="676">
        <f>+Drivers!N148</f>
        <v/>
      </c>
      <c r="O83" s="676">
        <f>+Drivers!O148</f>
        <v/>
      </c>
      <c r="P83" s="676">
        <f>+Drivers!P148</f>
        <v/>
      </c>
      <c r="Q83" s="676">
        <f>+Drivers!Q148</f>
        <v/>
      </c>
      <c r="R83" s="676">
        <f>+Drivers!R148</f>
        <v/>
      </c>
      <c r="S83" s="676">
        <f>+Drivers!S148</f>
        <v/>
      </c>
      <c r="T83" s="676">
        <f>+Drivers!T148</f>
        <v/>
      </c>
    </row>
    <row r="84" ht="14.25" customHeight="1">
      <c r="A84" s="7" t="n"/>
      <c r="C84" s="129" t="inlineStr">
        <is>
          <t>Shareholder's Equity</t>
        </is>
      </c>
      <c r="D84" s="129" t="n"/>
      <c r="E84" s="129" t="n"/>
      <c r="F84" s="129" t="n"/>
      <c r="G84" s="678">
        <f>SUM(G81:G83)</f>
        <v/>
      </c>
      <c r="H84" s="678">
        <f>SUM(H81:H83)</f>
        <v/>
      </c>
      <c r="I84" s="678">
        <f>SUM(I81:I83)</f>
        <v/>
      </c>
      <c r="J84" s="678">
        <f>SUM(J81:J83)</f>
        <v/>
      </c>
      <c r="K84" s="679">
        <f>SUM(K81:K83)</f>
        <v/>
      </c>
      <c r="L84" s="678">
        <f>SUM(L81:L83)</f>
        <v/>
      </c>
      <c r="M84" s="678">
        <f>SUM(M81:M83)</f>
        <v/>
      </c>
      <c r="N84" s="678">
        <f>SUM(N81:N83)</f>
        <v/>
      </c>
      <c r="O84" s="678">
        <f>SUM(O81:O83)</f>
        <v/>
      </c>
      <c r="P84" s="678">
        <f>SUM(P81:P83)</f>
        <v/>
      </c>
      <c r="Q84" s="678">
        <f>SUM(Q81:Q83)</f>
        <v/>
      </c>
      <c r="R84" s="678">
        <f>SUM(R81:R83)</f>
        <v/>
      </c>
      <c r="S84" s="678">
        <f>SUM(S81:S83)</f>
        <v/>
      </c>
      <c r="T84" s="678">
        <f>SUM(T81:T83)</f>
        <v/>
      </c>
    </row>
    <row r="85" ht="15" customHeight="1">
      <c r="A85" s="7" t="n"/>
      <c r="C85" s="95" t="n"/>
      <c r="D85" s="95" t="n"/>
      <c r="E85" s="95" t="n"/>
      <c r="F85" s="95" t="n"/>
      <c r="G85" s="703" t="n"/>
      <c r="H85" s="703" t="n"/>
      <c r="I85" s="703" t="n"/>
      <c r="J85" s="703" t="n"/>
      <c r="K85" s="704" t="n"/>
      <c r="L85" s="703" t="n"/>
      <c r="M85" s="703" t="n"/>
      <c r="N85" s="703" t="n"/>
      <c r="O85" s="703" t="n"/>
      <c r="P85" s="703" t="n"/>
      <c r="Q85" s="703" t="n"/>
      <c r="R85" s="703" t="n"/>
      <c r="S85" s="703" t="n"/>
      <c r="T85" s="703" t="n"/>
    </row>
    <row r="86" ht="14.25" customHeight="1">
      <c r="A86" s="7" t="n"/>
      <c r="C86" s="339" t="inlineStr">
        <is>
          <t>Liabilities &amp; Shareholder's Equity</t>
        </is>
      </c>
      <c r="D86" s="339" t="n"/>
      <c r="E86" s="339" t="n"/>
      <c r="F86" s="339" t="n"/>
      <c r="G86" s="701">
        <f>SUM(G84,G79)</f>
        <v/>
      </c>
      <c r="H86" s="701">
        <f>SUM(H84,H79)</f>
        <v/>
      </c>
      <c r="I86" s="701">
        <f>SUM(I84,I79)</f>
        <v/>
      </c>
      <c r="J86" s="701">
        <f>SUM(J84,J79)</f>
        <v/>
      </c>
      <c r="K86" s="702">
        <f>SUM(K84,K79)</f>
        <v/>
      </c>
      <c r="L86" s="701">
        <f>SUM(L84,L79)</f>
        <v/>
      </c>
      <c r="M86" s="701">
        <f>SUM(M84,M79)</f>
        <v/>
      </c>
      <c r="N86" s="701">
        <f>SUM(N84,N79)</f>
        <v/>
      </c>
      <c r="O86" s="701">
        <f>SUM(O84,O79)</f>
        <v/>
      </c>
      <c r="P86" s="701">
        <f>SUM(P84,P79)</f>
        <v/>
      </c>
      <c r="Q86" s="701">
        <f>SUM(Q84,Q79)</f>
        <v/>
      </c>
      <c r="R86" s="701">
        <f>SUM(R84,R79)</f>
        <v/>
      </c>
      <c r="S86" s="701">
        <f>SUM(S84,S79)</f>
        <v/>
      </c>
      <c r="T86" s="701">
        <f>SUM(T84,T79)</f>
        <v/>
      </c>
    </row>
    <row r="87" ht="10.05" customHeight="1">
      <c r="A87" s="7" t="n"/>
      <c r="C87" s="129" t="n"/>
      <c r="D87" s="129" t="n"/>
      <c r="E87" s="129" t="n"/>
      <c r="F87" s="129" t="n"/>
      <c r="G87" s="652" t="n"/>
      <c r="H87" s="652" t="n"/>
      <c r="I87" s="652" t="n"/>
      <c r="J87" s="652" t="n"/>
      <c r="K87" s="652" t="n"/>
      <c r="L87" s="652" t="n"/>
      <c r="M87" s="652" t="n"/>
      <c r="N87" s="652" t="n"/>
      <c r="O87" s="652" t="n"/>
      <c r="P87" s="652" t="n"/>
      <c r="Q87" s="652" t="n"/>
      <c r="R87" s="652" t="n"/>
      <c r="S87" s="652" t="n"/>
      <c r="T87" s="652" t="n"/>
    </row>
    <row r="88" ht="14.25" customHeight="1">
      <c r="A88" s="7" t="n"/>
      <c r="C88" s="484" t="inlineStr">
        <is>
          <t>Note: You can always hardcode / plug historical data, but not projected data.</t>
        </is>
      </c>
      <c r="D88" s="95" t="n"/>
      <c r="E88" s="95" t="n"/>
      <c r="F88" s="95" t="n"/>
      <c r="H88" s="258" t="n"/>
      <c r="I88" s="258" t="n"/>
      <c r="J88" s="442" t="n"/>
      <c r="K88" s="258" t="n"/>
      <c r="L88" s="258" t="n"/>
      <c r="M88" s="703">
        <f>M90-L90</f>
        <v/>
      </c>
      <c r="N88" s="703">
        <f>N90-M90</f>
        <v/>
      </c>
      <c r="O88" s="703">
        <f>O90-N90</f>
        <v/>
      </c>
      <c r="P88" s="703">
        <f>P90-O90</f>
        <v/>
      </c>
      <c r="Q88" s="703">
        <f>Q90-P90</f>
        <v/>
      </c>
      <c r="R88" s="703">
        <f>R90-Q90</f>
        <v/>
      </c>
      <c r="S88" s="703">
        <f>S90-R90</f>
        <v/>
      </c>
      <c r="T88" s="703">
        <f>T90-S90</f>
        <v/>
      </c>
    </row>
    <row r="89" ht="14.25" customHeight="1">
      <c r="A89" s="7" t="n"/>
      <c r="C89" s="95" t="inlineStr">
        <is>
          <t>Check</t>
        </is>
      </c>
      <c r="D89" s="95" t="n"/>
      <c r="E89" s="95" t="n"/>
      <c r="F89" s="95" t="n"/>
      <c r="G89" s="703">
        <f>+G67-G86</f>
        <v/>
      </c>
      <c r="H89" s="703">
        <f>+H67-H86</f>
        <v/>
      </c>
      <c r="I89" s="703">
        <f>+I67-I86</f>
        <v/>
      </c>
      <c r="J89" s="703">
        <f>0-(+J67-J86)</f>
        <v/>
      </c>
      <c r="K89" s="703">
        <f>0-(+K67-K86)</f>
        <v/>
      </c>
      <c r="L89" s="703">
        <f>0-(+L67-L86)</f>
        <v/>
      </c>
      <c r="M89" s="703">
        <f>0-(+M67-M86)</f>
        <v/>
      </c>
      <c r="N89" s="703">
        <f>0-(+N67-N86)</f>
        <v/>
      </c>
      <c r="O89" s="703">
        <f>0-(+O67-O86)</f>
        <v/>
      </c>
      <c r="P89" s="703">
        <f>0-(+P67-P86)</f>
        <v/>
      </c>
      <c r="Q89" s="703">
        <f>0-(+Q67-Q86)</f>
        <v/>
      </c>
      <c r="R89" s="703">
        <f>0-(+R67-R86)</f>
        <v/>
      </c>
      <c r="S89" s="703">
        <f>0-(+S67-S86)</f>
        <v/>
      </c>
      <c r="T89" s="703">
        <f>0-(+T67-T86)</f>
        <v/>
      </c>
    </row>
    <row r="90" ht="14.25" customHeight="1">
      <c r="A90" s="7" t="n"/>
      <c r="C90" s="95" t="n"/>
      <c r="D90" s="95" t="n"/>
      <c r="E90" s="95" t="n"/>
      <c r="F90" s="95" t="n"/>
      <c r="G90" s="703" t="n"/>
      <c r="H90" s="703" t="n"/>
      <c r="I90" s="703" t="n"/>
      <c r="J90" s="703" t="n"/>
      <c r="K90" s="703" t="n"/>
      <c r="L90" s="703">
        <f>L89-K89</f>
        <v/>
      </c>
      <c r="M90" s="703">
        <f>M89-L89</f>
        <v/>
      </c>
      <c r="N90" s="703">
        <f>N89-M89</f>
        <v/>
      </c>
      <c r="O90" s="703">
        <f>O89-N89</f>
        <v/>
      </c>
      <c r="P90" s="703">
        <f>P89-O89</f>
        <v/>
      </c>
      <c r="Q90" s="703">
        <f>Q89-P89</f>
        <v/>
      </c>
      <c r="R90" s="703">
        <f>R89-Q89</f>
        <v/>
      </c>
      <c r="S90" s="703">
        <f>S89-R89</f>
        <v/>
      </c>
      <c r="T90" s="703">
        <f>T89-S89</f>
        <v/>
      </c>
    </row>
    <row r="91" ht="10.05" customHeight="1">
      <c r="A91" s="7" t="n"/>
      <c r="C91" s="95" t="n"/>
      <c r="D91" s="95" t="n"/>
      <c r="E91" s="95" t="n"/>
      <c r="F91" s="95" t="n"/>
      <c r="G91" s="95" t="n"/>
      <c r="H91" s="95" t="n"/>
      <c r="I91" s="95" t="n"/>
      <c r="J91" s="95" t="n"/>
      <c r="K91" s="95" t="n"/>
      <c r="L91" s="95" t="n"/>
      <c r="M91" s="95" t="n"/>
      <c r="N91" s="95" t="n"/>
      <c r="O91" s="95" t="n"/>
      <c r="P91" s="95" t="n"/>
      <c r="Q91" s="95" t="n"/>
      <c r="R91" s="95" t="n"/>
      <c r="S91" s="95" t="n"/>
      <c r="T91" s="95" t="n"/>
    </row>
    <row r="92" ht="14.55" customHeight="1">
      <c r="A92" s="7" t="n"/>
      <c r="C92" s="210">
        <f>Assumptions!G$5</f>
        <v/>
      </c>
      <c r="D92" s="54" t="n"/>
      <c r="E92" s="54" t="n"/>
      <c r="F92" s="54" t="n"/>
      <c r="G92" s="54" t="n"/>
      <c r="H92" s="54" t="n"/>
      <c r="I92" s="54" t="n"/>
      <c r="J92" s="55" t="n"/>
      <c r="K92" s="54" t="n"/>
      <c r="L92" s="54" t="n"/>
      <c r="M92" s="54" t="n"/>
      <c r="N92" s="54" t="n"/>
      <c r="O92" s="54" t="n"/>
      <c r="P92" s="54" t="n"/>
      <c r="Q92" s="54" t="n"/>
      <c r="R92" s="54" t="n"/>
      <c r="S92" s="54" t="n"/>
      <c r="T92" s="55" t="n"/>
    </row>
    <row r="93" ht="14.55" customHeight="1">
      <c r="A93" s="7" t="inlineStr">
        <is>
          <t>X</t>
        </is>
      </c>
      <c r="C93" s="210" t="inlineStr">
        <is>
          <t>Cash Flow Statement</t>
        </is>
      </c>
      <c r="D93" s="54" t="n"/>
      <c r="E93" s="54" t="n"/>
      <c r="F93" s="54" t="n"/>
      <c r="G93" s="54" t="n"/>
      <c r="H93" s="54" t="n"/>
      <c r="I93" s="54" t="n"/>
      <c r="J93" s="211" t="inlineStr">
        <is>
          <t>FY26A / LTM</t>
        </is>
      </c>
      <c r="K93" s="54" t="n"/>
      <c r="L93" s="54" t="n"/>
      <c r="M93" s="54" t="n"/>
      <c r="N93" s="54" t="n"/>
      <c r="O93" s="54" t="n"/>
      <c r="P93" s="54" t="n"/>
      <c r="Q93" s="54" t="n"/>
      <c r="R93" s="54" t="n"/>
      <c r="S93" s="54" t="n"/>
      <c r="T93" s="55" t="n"/>
    </row>
    <row r="94" ht="14.55" customHeight="1">
      <c r="A94" s="7" t="n"/>
      <c r="C94" s="210">
        <f>Assumptions!$G$9</f>
        <v/>
      </c>
      <c r="D94" s="54" t="n"/>
      <c r="E94" s="54" t="n"/>
      <c r="F94" s="54" t="n"/>
      <c r="G94" s="54">
        <f>'Historical Financials'!G5</f>
        <v/>
      </c>
      <c r="H94" s="54">
        <f>'Historical Financials'!H5</f>
        <v/>
      </c>
      <c r="I94" s="54">
        <f>'Historical Financials'!I5</f>
        <v/>
      </c>
      <c r="J94" s="674">
        <f>'Historical Financials'!J5</f>
        <v/>
      </c>
      <c r="K94" s="54">
        <f>"FY"&amp;K$1&amp;"E"</f>
        <v/>
      </c>
      <c r="L94" s="54">
        <f>"FY"&amp;L$1&amp;"E"</f>
        <v/>
      </c>
      <c r="M94" s="54">
        <f>"FY"&amp;M$1&amp;"E"</f>
        <v/>
      </c>
      <c r="N94" s="54">
        <f>"FY"&amp;N$1&amp;"E"</f>
        <v/>
      </c>
      <c r="O94" s="54">
        <f>"FY"&amp;O$1&amp;"E"</f>
        <v/>
      </c>
      <c r="P94" s="54">
        <f>"FY"&amp;P$1&amp;"E"</f>
        <v/>
      </c>
      <c r="Q94" s="54">
        <f>"FY"&amp;Q$1&amp;"E"</f>
        <v/>
      </c>
      <c r="R94" s="54">
        <f>"FY"&amp;R$1&amp;"E"</f>
        <v/>
      </c>
      <c r="S94" s="54">
        <f>"FY"&amp;S$1&amp;"E"</f>
        <v/>
      </c>
      <c r="T94" s="55">
        <f>"FY"&amp;T$1&amp;"E"</f>
        <v/>
      </c>
    </row>
    <row r="95" ht="5" customHeight="1">
      <c r="A95" s="7" t="n"/>
      <c r="C95" s="219" t="n"/>
      <c r="D95" s="219" t="n"/>
      <c r="E95" s="219" t="n"/>
      <c r="F95" s="219" t="n"/>
      <c r="G95" s="186" t="n"/>
      <c r="H95" s="186" t="n"/>
      <c r="I95" s="186" t="n"/>
      <c r="J95" s="186" t="n"/>
      <c r="K95" s="187" t="n"/>
      <c r="L95" s="186" t="n"/>
      <c r="M95" s="186" t="n"/>
      <c r="N95" s="186" t="n"/>
      <c r="O95" s="186" t="n"/>
      <c r="P95" s="186" t="n"/>
      <c r="Q95" s="186" t="n"/>
      <c r="R95" s="186" t="n"/>
      <c r="S95" s="186" t="n"/>
      <c r="T95" s="186" t="n"/>
    </row>
    <row r="96" ht="14.25" customHeight="1">
      <c r="A96" s="7" t="n"/>
      <c r="C96" s="129" t="inlineStr">
        <is>
          <t>Net Income</t>
        </is>
      </c>
      <c r="D96" s="95" t="n"/>
      <c r="E96" s="95" t="n"/>
      <c r="F96" s="95" t="n"/>
      <c r="G96" s="700">
        <f>+G41</f>
        <v/>
      </c>
      <c r="H96" s="700">
        <f>+H41</f>
        <v/>
      </c>
      <c r="I96" s="700">
        <f>+I41</f>
        <v/>
      </c>
      <c r="J96" s="700">
        <f>+J41</f>
        <v/>
      </c>
      <c r="K96" s="707">
        <f>+K41</f>
        <v/>
      </c>
      <c r="L96" s="700">
        <f>+L41</f>
        <v/>
      </c>
      <c r="M96" s="700">
        <f>+M41</f>
        <v/>
      </c>
      <c r="N96" s="700">
        <f>+N41</f>
        <v/>
      </c>
      <c r="O96" s="700">
        <f>+O41</f>
        <v/>
      </c>
      <c r="P96" s="700">
        <f>+P41</f>
        <v/>
      </c>
      <c r="Q96" s="700">
        <f>+Q41</f>
        <v/>
      </c>
      <c r="R96" s="700">
        <f>+R41</f>
        <v/>
      </c>
      <c r="S96" s="700">
        <f>+S41</f>
        <v/>
      </c>
      <c r="T96" s="700">
        <f>+T41</f>
        <v/>
      </c>
    </row>
    <row r="97" ht="14.25" customHeight="1">
      <c r="A97" s="7" t="n"/>
      <c r="C97" s="95" t="n"/>
      <c r="D97" s="95" t="n"/>
      <c r="E97" s="95" t="n"/>
      <c r="F97" s="95" t="n"/>
      <c r="G97" s="703" t="n"/>
      <c r="H97" s="703" t="n"/>
      <c r="I97" s="703" t="n"/>
      <c r="J97" s="703" t="n"/>
      <c r="K97" s="704" t="n"/>
      <c r="L97" s="703" t="n"/>
      <c r="M97" s="703" t="n"/>
      <c r="N97" s="703" t="n"/>
      <c r="O97" s="703" t="n"/>
      <c r="P97" s="703" t="n"/>
      <c r="Q97" s="703" t="n"/>
      <c r="R97" s="703" t="n"/>
      <c r="S97" s="703" t="n"/>
      <c r="T97" s="703" t="n"/>
    </row>
    <row r="98" ht="14.25" customHeight="1">
      <c r="A98" s="7" t="n"/>
      <c r="C98" s="265" t="inlineStr">
        <is>
          <t>Non-Cash Expenses</t>
        </is>
      </c>
      <c r="D98" s="95" t="n"/>
      <c r="E98" s="95" t="n"/>
      <c r="F98" s="95" t="n"/>
      <c r="G98" s="703" t="n"/>
      <c r="H98" s="703" t="n"/>
      <c r="I98" s="703" t="n"/>
      <c r="J98" s="703" t="n"/>
      <c r="K98" s="704" t="n"/>
      <c r="L98" s="703" t="n"/>
      <c r="M98" s="703" t="n"/>
      <c r="N98" s="703" t="n"/>
      <c r="O98" s="703" t="n"/>
      <c r="P98" s="703" t="n"/>
      <c r="Q98" s="703" t="n"/>
      <c r="R98" s="703" t="n"/>
      <c r="S98" s="703" t="n"/>
      <c r="T98" s="703" t="n"/>
    </row>
    <row r="99" ht="14.25" customHeight="1">
      <c r="A99" s="7" t="n"/>
      <c r="C99" s="319">
        <f>+C30</f>
        <v/>
      </c>
      <c r="D99" s="95" t="n"/>
      <c r="E99" s="95" t="n"/>
      <c r="F99" s="95" t="n"/>
      <c r="G99" s="700">
        <f>+G30</f>
        <v/>
      </c>
      <c r="H99" s="700">
        <f>+H30</f>
        <v/>
      </c>
      <c r="I99" s="700">
        <f>+I30</f>
        <v/>
      </c>
      <c r="J99" s="700">
        <f>+J30</f>
        <v/>
      </c>
      <c r="K99" s="700">
        <f>+K30</f>
        <v/>
      </c>
      <c r="L99" s="700">
        <f>+L30</f>
        <v/>
      </c>
      <c r="M99" s="700">
        <f>+M30</f>
        <v/>
      </c>
      <c r="N99" s="700">
        <f>+N30</f>
        <v/>
      </c>
      <c r="O99" s="700">
        <f>+O30</f>
        <v/>
      </c>
      <c r="P99" s="700">
        <f>+P30</f>
        <v/>
      </c>
      <c r="Q99" s="700">
        <f>+Q30</f>
        <v/>
      </c>
      <c r="R99" s="700">
        <f>+R30</f>
        <v/>
      </c>
      <c r="S99" s="700">
        <f>+S30</f>
        <v/>
      </c>
      <c r="T99" s="700">
        <f>+T30</f>
        <v/>
      </c>
    </row>
    <row r="100" ht="14.25" customHeight="1">
      <c r="A100" s="7" t="n"/>
      <c r="C100" s="319">
        <f>+C31</f>
        <v/>
      </c>
      <c r="D100" s="95" t="n"/>
      <c r="E100" s="95" t="n"/>
      <c r="F100" s="95" t="n"/>
      <c r="G100" s="708">
        <f>+G31</f>
        <v/>
      </c>
      <c r="H100" s="708">
        <f>+H31</f>
        <v/>
      </c>
      <c r="I100" s="708">
        <f>+I31</f>
        <v/>
      </c>
      <c r="J100" s="708">
        <f>+J31</f>
        <v/>
      </c>
      <c r="K100" s="708">
        <f>+K31</f>
        <v/>
      </c>
      <c r="L100" s="708">
        <f>+L31</f>
        <v/>
      </c>
      <c r="M100" s="708">
        <f>+M31</f>
        <v/>
      </c>
      <c r="N100" s="708">
        <f>+N31</f>
        <v/>
      </c>
      <c r="O100" s="708">
        <f>+O31</f>
        <v/>
      </c>
      <c r="P100" s="708">
        <f>+P31</f>
        <v/>
      </c>
      <c r="Q100" s="708">
        <f>+Q31</f>
        <v/>
      </c>
      <c r="R100" s="708">
        <f>+R31</f>
        <v/>
      </c>
      <c r="S100" s="708">
        <f>+S31</f>
        <v/>
      </c>
      <c r="T100" s="708">
        <f>+T31</f>
        <v/>
      </c>
    </row>
    <row r="101" ht="14.25" customHeight="1">
      <c r="A101" s="7" t="n"/>
      <c r="C101" s="316">
        <f>'Historical Financials'!$C$106</f>
        <v/>
      </c>
      <c r="D101" s="95" t="n"/>
      <c r="E101" s="95" t="n"/>
      <c r="F101" s="95" t="n"/>
      <c r="G101" s="686">
        <f>'Historical Financials'!G106/Conversion_Rate</f>
        <v/>
      </c>
      <c r="H101" s="686">
        <f>'Historical Financials'!H106/Conversion_Rate</f>
        <v/>
      </c>
      <c r="I101" s="686">
        <f>'Historical Financials'!I106/Conversion_Rate</f>
        <v/>
      </c>
      <c r="J101" s="686">
        <f>'Historical Financials'!J106/Conversion_Rate</f>
        <v/>
      </c>
      <c r="K101" s="708">
        <f>+Drivers!K159</f>
        <v/>
      </c>
      <c r="L101" s="708">
        <f>+Drivers!L159</f>
        <v/>
      </c>
      <c r="M101" s="708">
        <f>+Drivers!M159</f>
        <v/>
      </c>
      <c r="N101" s="708">
        <f>+Drivers!N159</f>
        <v/>
      </c>
      <c r="O101" s="708">
        <f>+Drivers!O159</f>
        <v/>
      </c>
      <c r="P101" s="708">
        <f>+Drivers!P159</f>
        <v/>
      </c>
      <c r="Q101" s="708">
        <f>+Drivers!Q159</f>
        <v/>
      </c>
      <c r="R101" s="708">
        <f>+Drivers!R159</f>
        <v/>
      </c>
      <c r="S101" s="708">
        <f>+Drivers!S159</f>
        <v/>
      </c>
      <c r="T101" s="708">
        <f>+Drivers!T159</f>
        <v/>
      </c>
    </row>
    <row r="102" ht="14.25" customHeight="1">
      <c r="A102" s="7" t="n"/>
      <c r="C102" s="147" t="inlineStr">
        <is>
          <t>Other Non-Cash (credit losses, equity-method, PP&amp;E gains, deferred taxes)</t>
        </is>
      </c>
      <c r="D102" s="95" t="n"/>
      <c r="E102" s="95" t="n"/>
      <c r="F102" s="95" t="n"/>
      <c r="G102" s="709">
        <f>1.946+5.347-1.846+9.946</f>
        <v/>
      </c>
      <c r="H102" s="709">
        <f>3.914-4.058+2.241-2.386-0.847</f>
        <v/>
      </c>
      <c r="I102" s="709">
        <f>0.354-0.149-13.726-13.44</f>
        <v/>
      </c>
      <c r="J102" s="709">
        <f>5.599+0.326+1.13+47.359</f>
        <v/>
      </c>
      <c r="K102" s="709" t="n">
        <v>0</v>
      </c>
      <c r="L102" s="709" t="n">
        <v>0</v>
      </c>
      <c r="M102" s="709" t="n">
        <v>0</v>
      </c>
      <c r="N102" s="709" t="n">
        <v>0</v>
      </c>
      <c r="O102" s="709" t="n">
        <v>0</v>
      </c>
      <c r="P102" s="709" t="n">
        <v>0</v>
      </c>
      <c r="Q102" s="709" t="n">
        <v>0</v>
      </c>
      <c r="R102" s="709" t="n">
        <v>0</v>
      </c>
      <c r="S102" s="709" t="n">
        <v>0</v>
      </c>
      <c r="T102" s="709" t="n">
        <v>0</v>
      </c>
    </row>
    <row r="103" ht="14.25" customHeight="1">
      <c r="A103" s="7" t="n"/>
      <c r="C103" s="95" t="n"/>
      <c r="D103" s="95" t="n"/>
      <c r="E103" s="95" t="n"/>
      <c r="F103" s="95" t="n"/>
      <c r="G103" s="703" t="n"/>
      <c r="H103" s="703" t="n"/>
      <c r="I103" s="703" t="n"/>
      <c r="J103" s="703" t="n"/>
      <c r="K103" s="703" t="n"/>
      <c r="L103" s="703" t="n"/>
      <c r="M103" s="703" t="n"/>
      <c r="N103" s="703" t="n"/>
      <c r="O103" s="703" t="n"/>
      <c r="P103" s="703" t="n"/>
      <c r="Q103" s="703" t="n"/>
      <c r="R103" s="703" t="n"/>
      <c r="S103" s="703" t="n"/>
      <c r="T103" s="703" t="n"/>
    </row>
    <row r="104" ht="14.25" customHeight="1">
      <c r="A104" s="7" t="n"/>
      <c r="C104" s="265" t="inlineStr">
        <is>
          <t>∆ Net Working Capital</t>
        </is>
      </c>
      <c r="D104" s="95" t="n"/>
      <c r="E104" s="95" t="n"/>
      <c r="F104" s="95" t="n"/>
      <c r="G104" s="703" t="n"/>
      <c r="H104" s="703" t="n"/>
      <c r="I104" s="703" t="n"/>
      <c r="J104" s="703" t="n"/>
      <c r="K104" s="703" t="n"/>
      <c r="L104" s="703" t="n"/>
      <c r="M104" s="703" t="n"/>
      <c r="N104" s="703" t="n"/>
      <c r="O104" s="703" t="n"/>
      <c r="P104" s="703" t="n"/>
      <c r="Q104" s="703" t="n"/>
      <c r="R104" s="703" t="n"/>
      <c r="S104" s="703" t="n"/>
      <c r="T104" s="703" t="n"/>
    </row>
    <row r="105" ht="14.25" customHeight="1">
      <c r="A105" s="7" t="n"/>
      <c r="C105" s="319">
        <f>"∆ "&amp;C51</f>
        <v/>
      </c>
      <c r="D105" s="95" t="n"/>
      <c r="E105" s="95" t="n"/>
      <c r="F105" s="95" t="n"/>
      <c r="G105" s="710">
        <f>578.573-702.038</f>
        <v/>
      </c>
      <c r="H105" s="682">
        <f>+G51-H51</f>
        <v/>
      </c>
      <c r="I105" s="682">
        <f>+H51-I51</f>
        <v/>
      </c>
      <c r="J105" s="710">
        <f>+I51-J51</f>
        <v/>
      </c>
      <c r="K105" s="682">
        <f>+J51-K51</f>
        <v/>
      </c>
      <c r="L105" s="682">
        <f>+K51-L51</f>
        <v/>
      </c>
      <c r="M105" s="682">
        <f>+L51-M51</f>
        <v/>
      </c>
      <c r="N105" s="682">
        <f>+M51-N51</f>
        <v/>
      </c>
      <c r="O105" s="682">
        <f>+N51-O51</f>
        <v/>
      </c>
      <c r="P105" s="682">
        <f>+O51-P51</f>
        <v/>
      </c>
      <c r="Q105" s="682">
        <f>+P51-Q51</f>
        <v/>
      </c>
      <c r="R105" s="682">
        <f>+Q51-R51</f>
        <v/>
      </c>
      <c r="S105" s="682">
        <f>+R51-S51</f>
        <v/>
      </c>
      <c r="T105" s="682">
        <f>+S51-T51</f>
        <v/>
      </c>
    </row>
    <row r="106" ht="14.25" customHeight="1">
      <c r="A106" s="7" t="n"/>
      <c r="C106" s="319">
        <f>"∆ "&amp;C52</f>
        <v/>
      </c>
      <c r="D106" s="95" t="n"/>
      <c r="E106" s="95" t="n"/>
      <c r="F106" s="95" t="n"/>
      <c r="G106" s="709">
        <f>18.731-26.31</f>
        <v/>
      </c>
      <c r="H106" s="628">
        <f>+G52-H52</f>
        <v/>
      </c>
      <c r="I106" s="628">
        <f>+H52-I52</f>
        <v/>
      </c>
      <c r="J106" s="709">
        <f>+I52-J52</f>
        <v/>
      </c>
      <c r="K106" s="628">
        <f>+J52-K52</f>
        <v/>
      </c>
      <c r="L106" s="628">
        <f>+K52-L52</f>
        <v/>
      </c>
      <c r="M106" s="628">
        <f>+L52-M52</f>
        <v/>
      </c>
      <c r="N106" s="628">
        <f>+M52-N52</f>
        <v/>
      </c>
      <c r="O106" s="628">
        <f>+N52-O52</f>
        <v/>
      </c>
      <c r="P106" s="628">
        <f>+O52-P52</f>
        <v/>
      </c>
      <c r="Q106" s="628">
        <f>+P52-Q52</f>
        <v/>
      </c>
      <c r="R106" s="628">
        <f>+Q52-R52</f>
        <v/>
      </c>
      <c r="S106" s="628">
        <f>+R52-S52</f>
        <v/>
      </c>
      <c r="T106" s="628">
        <f>+S52-T52</f>
        <v/>
      </c>
    </row>
    <row r="107" ht="14.25" customHeight="1">
      <c r="A107" s="7" t="n"/>
      <c r="C107" s="319">
        <f>"∆ "&amp;C53</f>
        <v/>
      </c>
      <c r="D107" s="95" t="n"/>
      <c r="E107" s="95" t="n"/>
      <c r="F107" s="95" t="n"/>
      <c r="G107" s="709">
        <f>58.791-39.973</f>
        <v/>
      </c>
      <c r="H107" s="628">
        <f>+G53-H53</f>
        <v/>
      </c>
      <c r="I107" s="628">
        <f>+H53-I53</f>
        <v/>
      </c>
      <c r="J107" s="709">
        <f>+I53-J53</f>
        <v/>
      </c>
      <c r="K107" s="628">
        <f>+J53-K53</f>
        <v/>
      </c>
      <c r="L107" s="628">
        <f>+K53-L53</f>
        <v/>
      </c>
      <c r="M107" s="628">
        <f>+L53-M53</f>
        <v/>
      </c>
      <c r="N107" s="628">
        <f>+M53-N53</f>
        <v/>
      </c>
      <c r="O107" s="628">
        <f>+N53-O53</f>
        <v/>
      </c>
      <c r="P107" s="628">
        <f>+O53-P53</f>
        <v/>
      </c>
      <c r="Q107" s="628">
        <f>+P53-Q53</f>
        <v/>
      </c>
      <c r="R107" s="628">
        <f>+Q53-R53</f>
        <v/>
      </c>
      <c r="S107" s="628">
        <f>+R53-S53</f>
        <v/>
      </c>
      <c r="T107" s="628">
        <f>+S53-T53</f>
        <v/>
      </c>
    </row>
    <row r="108" ht="14.25" customHeight="1">
      <c r="A108" s="7" t="n"/>
      <c r="C108" s="319">
        <f>"∆ "&amp;C54</f>
        <v/>
      </c>
      <c r="D108" s="95" t="n"/>
      <c r="E108" s="95" t="n"/>
      <c r="F108" s="95" t="n"/>
      <c r="G108" s="709">
        <f>(112.242+49.882)-G54</f>
        <v/>
      </c>
      <c r="H108" s="628">
        <f>+G54-H54</f>
        <v/>
      </c>
      <c r="I108" s="628">
        <f>+H54-I54</f>
        <v/>
      </c>
      <c r="J108" s="709">
        <f>+I54-J54</f>
        <v/>
      </c>
      <c r="K108" s="628">
        <f>+J54-K54</f>
        <v/>
      </c>
      <c r="L108" s="628">
        <f>+K54-L54</f>
        <v/>
      </c>
      <c r="M108" s="628">
        <f>+L54-M54</f>
        <v/>
      </c>
      <c r="N108" s="628">
        <f>+M54-N54</f>
        <v/>
      </c>
      <c r="O108" s="628">
        <f>+N54-O54</f>
        <v/>
      </c>
      <c r="P108" s="628">
        <f>+O54-P54</f>
        <v/>
      </c>
      <c r="Q108" s="628">
        <f>+P54-Q54</f>
        <v/>
      </c>
      <c r="R108" s="628">
        <f>+Q54-R54</f>
        <v/>
      </c>
      <c r="S108" s="628">
        <f>+R54-S54</f>
        <v/>
      </c>
      <c r="T108" s="628">
        <f>+S54-T54</f>
        <v/>
      </c>
    </row>
    <row r="109" ht="14.25" customHeight="1">
      <c r="A109" s="7" t="n"/>
      <c r="C109" s="111" t="n"/>
      <c r="D109" s="95" t="n"/>
      <c r="E109" s="95" t="n"/>
      <c r="F109" s="95" t="n"/>
      <c r="G109" s="703" t="n"/>
      <c r="H109" s="703" t="n"/>
      <c r="I109" s="703" t="n"/>
      <c r="J109" s="703" t="n"/>
      <c r="K109" s="703" t="n"/>
      <c r="L109" s="703" t="n"/>
      <c r="M109" s="703" t="n"/>
      <c r="N109" s="703" t="n"/>
      <c r="O109" s="703" t="n"/>
      <c r="P109" s="703" t="n"/>
      <c r="Q109" s="703" t="n"/>
      <c r="R109" s="703" t="n"/>
      <c r="S109" s="703" t="n"/>
      <c r="T109" s="703" t="n"/>
    </row>
    <row r="110" ht="14.25" customHeight="1">
      <c r="A110" s="7" t="n"/>
      <c r="C110" s="319">
        <f>"∆ "&amp;C69</f>
        <v/>
      </c>
      <c r="D110" s="95" t="n"/>
      <c r="E110" s="95" t="n"/>
      <c r="F110" s="95" t="n"/>
      <c r="G110" s="710">
        <f>440.81-399.034</f>
        <v/>
      </c>
      <c r="H110" s="682">
        <f>+H69-G69</f>
        <v/>
      </c>
      <c r="I110" s="682">
        <f>+I69-H69</f>
        <v/>
      </c>
      <c r="J110" s="710">
        <f>+J69-I69</f>
        <v/>
      </c>
      <c r="K110" s="682">
        <f>+K69-J69</f>
        <v/>
      </c>
      <c r="L110" s="682">
        <f>+L69-K69</f>
        <v/>
      </c>
      <c r="M110" s="682">
        <f>+M69-L69</f>
        <v/>
      </c>
      <c r="N110" s="682">
        <f>+N69-M69</f>
        <v/>
      </c>
      <c r="O110" s="682">
        <f>+O69-N69</f>
        <v/>
      </c>
      <c r="P110" s="682">
        <f>+P69-O69</f>
        <v/>
      </c>
      <c r="Q110" s="682">
        <f>+Q69-P69</f>
        <v/>
      </c>
      <c r="R110" s="682">
        <f>+R69-Q69</f>
        <v/>
      </c>
      <c r="S110" s="682">
        <f>+S69-R69</f>
        <v/>
      </c>
      <c r="T110" s="682">
        <f>+T69-S69</f>
        <v/>
      </c>
    </row>
    <row r="111" ht="14.25" customHeight="1">
      <c r="A111" s="7" t="n"/>
      <c r="C111" s="319">
        <f>"∆ "&amp;C70</f>
        <v/>
      </c>
      <c r="D111" s="95" t="n"/>
      <c r="E111" s="95" t="n"/>
      <c r="F111" s="95" t="n"/>
      <c r="G111" s="709" t="n">
        <v>0</v>
      </c>
      <c r="H111" s="628">
        <f>+H70-G70</f>
        <v/>
      </c>
      <c r="I111" s="628">
        <f>+I70-H70</f>
        <v/>
      </c>
      <c r="J111" s="709">
        <f>+J70-I70</f>
        <v/>
      </c>
      <c r="K111" s="628">
        <f>+K70-J70</f>
        <v/>
      </c>
      <c r="L111" s="628">
        <f>+L70-K70</f>
        <v/>
      </c>
      <c r="M111" s="628">
        <f>+M70-L70</f>
        <v/>
      </c>
      <c r="N111" s="628">
        <f>+N70-M70</f>
        <v/>
      </c>
      <c r="O111" s="628">
        <f>+O70-N70</f>
        <v/>
      </c>
      <c r="P111" s="628">
        <f>+P70-O70</f>
        <v/>
      </c>
      <c r="Q111" s="628">
        <f>+Q70-P70</f>
        <v/>
      </c>
      <c r="R111" s="628">
        <f>+R70-Q70</f>
        <v/>
      </c>
      <c r="S111" s="628">
        <f>+S70-R70</f>
        <v/>
      </c>
      <c r="T111" s="628">
        <f>+T70-S70</f>
        <v/>
      </c>
    </row>
    <row r="112" ht="14.25" customHeight="1">
      <c r="A112" s="7" t="n"/>
      <c r="C112" s="319">
        <f>"∆ "&amp;C71</f>
        <v/>
      </c>
      <c r="D112" s="95" t="n"/>
      <c r="E112" s="95" t="n"/>
      <c r="F112" s="95" t="n"/>
      <c r="G112" s="709">
        <f>26.117-20.061</f>
        <v/>
      </c>
      <c r="H112" s="628">
        <f>+H71-G71</f>
        <v/>
      </c>
      <c r="I112" s="628">
        <f>+I71-H71</f>
        <v/>
      </c>
      <c r="J112" s="709">
        <f>+J71-I71</f>
        <v/>
      </c>
      <c r="K112" s="628">
        <f>+K71-J71</f>
        <v/>
      </c>
      <c r="L112" s="628">
        <f>+L71-K71</f>
        <v/>
      </c>
      <c r="M112" s="628">
        <f>+M71-L71</f>
        <v/>
      </c>
      <c r="N112" s="628">
        <f>+N71-M71</f>
        <v/>
      </c>
      <c r="O112" s="628">
        <f>+O71-N71</f>
        <v/>
      </c>
      <c r="P112" s="628">
        <f>+P71-O71</f>
        <v/>
      </c>
      <c r="Q112" s="628">
        <f>+Q71-P71</f>
        <v/>
      </c>
      <c r="R112" s="628">
        <f>+R71-Q71</f>
        <v/>
      </c>
      <c r="S112" s="628">
        <f>+S71-R71</f>
        <v/>
      </c>
      <c r="T112" s="628">
        <f>+T71-S71</f>
        <v/>
      </c>
    </row>
    <row r="113" ht="14.25" customHeight="1">
      <c r="A113" s="7" t="n"/>
      <c r="C113" s="319">
        <f>"∆ "&amp;C72</f>
        <v/>
      </c>
      <c r="D113" s="95" t="n"/>
      <c r="E113" s="95" t="n"/>
      <c r="F113" s="95" t="n"/>
      <c r="G113" s="709">
        <f>G72-(0+21.794)</f>
        <v/>
      </c>
      <c r="H113" s="628">
        <f>+H72-G72</f>
        <v/>
      </c>
      <c r="I113" s="628">
        <f>+I72-H72</f>
        <v/>
      </c>
      <c r="J113" s="709">
        <f>+J72-I72</f>
        <v/>
      </c>
      <c r="K113" s="629">
        <f>+K72-J72</f>
        <v/>
      </c>
      <c r="L113" s="628">
        <f>+L72-K72</f>
        <v/>
      </c>
      <c r="M113" s="628">
        <f>+M72-L72</f>
        <v/>
      </c>
      <c r="N113" s="628">
        <f>+N72-M72</f>
        <v/>
      </c>
      <c r="O113" s="628">
        <f>+O72-N72</f>
        <v/>
      </c>
      <c r="P113" s="628">
        <f>+P72-O72</f>
        <v/>
      </c>
      <c r="Q113" s="628">
        <f>+Q72-P72</f>
        <v/>
      </c>
      <c r="R113" s="628">
        <f>+R72-Q72</f>
        <v/>
      </c>
      <c r="S113" s="628">
        <f>+S72-R72</f>
        <v/>
      </c>
      <c r="T113" s="628">
        <f>+T72-S72</f>
        <v/>
      </c>
    </row>
    <row r="114" ht="14.25" customHeight="1">
      <c r="A114" s="7" t="n"/>
      <c r="C114" s="270" t="inlineStr">
        <is>
          <t>Change in NWC</t>
        </is>
      </c>
      <c r="D114" s="124" t="n"/>
      <c r="E114" s="124" t="n"/>
      <c r="F114" s="124" t="n"/>
      <c r="G114" s="711">
        <f>SUM(G105:G113)</f>
        <v/>
      </c>
      <c r="H114" s="711">
        <f>SUM(H105:H113)</f>
        <v/>
      </c>
      <c r="I114" s="711">
        <f>SUM(I105:I113)</f>
        <v/>
      </c>
      <c r="J114" s="711">
        <f>SUM(J105:J113)</f>
        <v/>
      </c>
      <c r="K114" s="712">
        <f>SUM(K105:K113)</f>
        <v/>
      </c>
      <c r="L114" s="711">
        <f>SUM(L105:L113)</f>
        <v/>
      </c>
      <c r="M114" s="711">
        <f>SUM(M105:M113)</f>
        <v/>
      </c>
      <c r="N114" s="711">
        <f>SUM(N105:N113)</f>
        <v/>
      </c>
      <c r="O114" s="711">
        <f>SUM(O105:O113)</f>
        <v/>
      </c>
      <c r="P114" s="711">
        <f>SUM(P105:P113)</f>
        <v/>
      </c>
      <c r="Q114" s="711">
        <f>SUM(Q105:Q113)</f>
        <v/>
      </c>
      <c r="R114" s="711">
        <f>SUM(R105:R113)</f>
        <v/>
      </c>
      <c r="S114" s="711">
        <f>SUM(S105:S113)</f>
        <v/>
      </c>
      <c r="T114" s="711">
        <f>SUM(T105:T113)</f>
        <v/>
      </c>
    </row>
    <row r="115" ht="15" customHeight="1">
      <c r="A115" s="7" t="n"/>
      <c r="C115" s="266" t="n"/>
      <c r="D115" s="95" t="n"/>
      <c r="E115" s="95" t="n"/>
      <c r="F115" s="95" t="n"/>
      <c r="G115" s="628" t="n"/>
      <c r="H115" s="628" t="n"/>
      <c r="I115" s="628" t="n"/>
      <c r="J115" s="628" t="n"/>
      <c r="K115" s="629" t="n"/>
      <c r="L115" s="628" t="n"/>
      <c r="M115" s="628" t="n"/>
      <c r="N115" s="628" t="n"/>
      <c r="O115" s="628" t="n"/>
      <c r="P115" s="628" t="n"/>
      <c r="Q115" s="628" t="n"/>
      <c r="R115" s="628" t="n"/>
      <c r="S115" s="628" t="n"/>
      <c r="T115" s="628" t="n"/>
    </row>
    <row r="116" ht="14.25" customHeight="1">
      <c r="A116" s="7" t="n"/>
      <c r="C116" s="339" t="inlineStr">
        <is>
          <t>Cash Flow from Operations</t>
        </is>
      </c>
      <c r="D116" s="339" t="n"/>
      <c r="E116" s="339" t="n"/>
      <c r="F116" s="339" t="n"/>
      <c r="G116" s="701">
        <f>SUM(G114,G99:G102,G96)</f>
        <v/>
      </c>
      <c r="H116" s="701">
        <f>SUM(H114,H99:H102,H96)</f>
        <v/>
      </c>
      <c r="I116" s="701">
        <f>SUM(I114,I99:I102,I96)</f>
        <v/>
      </c>
      <c r="J116" s="701">
        <f>SUM(J114,J99:J102,J96)</f>
        <v/>
      </c>
      <c r="K116" s="702">
        <f>SUM(K114,K99:K102,K96)</f>
        <v/>
      </c>
      <c r="L116" s="701">
        <f>SUM(L114,L99:L102,L96)</f>
        <v/>
      </c>
      <c r="M116" s="701">
        <f>SUM(M114,M99:M102,M96)</f>
        <v/>
      </c>
      <c r="N116" s="701">
        <f>SUM(N114,N99:N102,N96)</f>
        <v/>
      </c>
      <c r="O116" s="701">
        <f>SUM(O114,O99:O102,O96)</f>
        <v/>
      </c>
      <c r="P116" s="701">
        <f>SUM(P114,P99:P102,P96)</f>
        <v/>
      </c>
      <c r="Q116" s="701">
        <f>SUM(Q114,Q99:Q102,Q96)</f>
        <v/>
      </c>
      <c r="R116" s="701">
        <f>SUM(R114,R99:R102,R96)</f>
        <v/>
      </c>
      <c r="S116" s="701">
        <f>SUM(S114,S99:S102,S96)</f>
        <v/>
      </c>
      <c r="T116" s="701">
        <f>SUM(T114,T99:T102,T96)</f>
        <v/>
      </c>
    </row>
    <row r="117" ht="14.25" customHeight="1">
      <c r="A117" s="7" t="n"/>
      <c r="C117" s="95" t="n"/>
      <c r="D117" s="95" t="n"/>
      <c r="E117" s="95" t="n"/>
      <c r="F117" s="95" t="n"/>
      <c r="G117" s="703" t="n"/>
      <c r="H117" s="703" t="n"/>
      <c r="I117" s="703" t="n"/>
      <c r="J117" s="703" t="n"/>
      <c r="K117" s="704" t="n"/>
      <c r="L117" s="703" t="n"/>
      <c r="M117" s="703" t="n"/>
      <c r="N117" s="703" t="n"/>
      <c r="O117" s="703" t="n"/>
      <c r="P117" s="703" t="n"/>
      <c r="Q117" s="703" t="n"/>
      <c r="R117" s="703" t="n"/>
      <c r="S117" s="703" t="n"/>
      <c r="T117" s="703" t="n"/>
    </row>
    <row r="118" ht="15" customHeight="1">
      <c r="A118" s="7" t="n"/>
      <c r="C118" s="316">
        <f>'Historical Financials'!C112</f>
        <v/>
      </c>
      <c r="D118" s="95" t="n"/>
      <c r="E118" s="95" t="n"/>
      <c r="F118" s="95" t="n"/>
      <c r="G118" s="675">
        <f>'Historical Financials'!G112/Conversion_Rate</f>
        <v/>
      </c>
      <c r="H118" s="675">
        <f>'Historical Financials'!H112/Conversion_Rate</f>
        <v/>
      </c>
      <c r="I118" s="675">
        <f>'Historical Financials'!I112/Conversion_Rate</f>
        <v/>
      </c>
      <c r="J118" s="675">
        <f>'Historical Financials'!J112/Conversion_Rate</f>
        <v/>
      </c>
      <c r="K118" s="707">
        <f>+Drivers!K166</f>
        <v/>
      </c>
      <c r="L118" s="700">
        <f>+Drivers!L166</f>
        <v/>
      </c>
      <c r="M118" s="700">
        <f>+Drivers!M166</f>
        <v/>
      </c>
      <c r="N118" s="700">
        <f>+Drivers!N166</f>
        <v/>
      </c>
      <c r="O118" s="700">
        <f>+Drivers!O166</f>
        <v/>
      </c>
      <c r="P118" s="700">
        <f>+Drivers!P166</f>
        <v/>
      </c>
      <c r="Q118" s="700">
        <f>+Drivers!Q166</f>
        <v/>
      </c>
      <c r="R118" s="700">
        <f>+Drivers!R166</f>
        <v/>
      </c>
      <c r="S118" s="700">
        <f>+Drivers!S166</f>
        <v/>
      </c>
      <c r="T118" s="700">
        <f>+Drivers!T166</f>
        <v/>
      </c>
    </row>
    <row r="119" ht="15" customHeight="1">
      <c r="A119" s="7" t="n"/>
      <c r="C119" s="316">
        <f>'Historical Financials'!$C$118</f>
        <v/>
      </c>
      <c r="D119" s="95" t="n"/>
      <c r="E119" s="95" t="n"/>
      <c r="F119" s="95" t="n"/>
      <c r="G119" s="686">
        <f>'Historical Financials'!G118/Conversion_Rate</f>
        <v/>
      </c>
      <c r="H119" s="686">
        <f>'Historical Financials'!H118/Conversion_Rate</f>
        <v/>
      </c>
      <c r="I119" s="686">
        <f>'Historical Financials'!I118/Conversion_Rate</f>
        <v/>
      </c>
      <c r="J119" s="686">
        <f>'Historical Financials'!J118/Conversion_Rate</f>
        <v/>
      </c>
      <c r="K119" s="713">
        <f>+Drivers!K171</f>
        <v/>
      </c>
      <c r="L119" s="708">
        <f>+Drivers!L171</f>
        <v/>
      </c>
      <c r="M119" s="708">
        <f>+Drivers!M171</f>
        <v/>
      </c>
      <c r="N119" s="708">
        <f>+Drivers!N171</f>
        <v/>
      </c>
      <c r="O119" s="708">
        <f>+Drivers!O171</f>
        <v/>
      </c>
      <c r="P119" s="708">
        <f>+Drivers!P171</f>
        <v/>
      </c>
      <c r="Q119" s="708">
        <f>+Drivers!Q171</f>
        <v/>
      </c>
      <c r="R119" s="708">
        <f>+Drivers!R171</f>
        <v/>
      </c>
      <c r="S119" s="708">
        <f>+Drivers!S171</f>
        <v/>
      </c>
      <c r="T119" s="708">
        <f>+Drivers!T171</f>
        <v/>
      </c>
    </row>
    <row r="120" ht="14.25" customHeight="1">
      <c r="A120" s="7" t="n"/>
      <c r="C120" s="319">
        <f>C65</f>
        <v/>
      </c>
      <c r="D120" s="95" t="n"/>
      <c r="E120" s="95" t="n"/>
      <c r="F120" s="95" t="n"/>
      <c r="G120" s="709">
        <f>(116.303+47.708)-G65</f>
        <v/>
      </c>
      <c r="H120" s="628">
        <f>+G65-H65</f>
        <v/>
      </c>
      <c r="I120" s="628">
        <f>+H65-I65</f>
        <v/>
      </c>
      <c r="J120" s="709">
        <f>+I65-J65</f>
        <v/>
      </c>
      <c r="K120" s="629">
        <f>+J65-K65</f>
        <v/>
      </c>
      <c r="L120" s="628">
        <f>+K65-L65</f>
        <v/>
      </c>
      <c r="M120" s="628">
        <f>+L65-M65</f>
        <v/>
      </c>
      <c r="N120" s="628">
        <f>+M65-N65</f>
        <v/>
      </c>
      <c r="O120" s="628">
        <f>+N65-O65</f>
        <v/>
      </c>
      <c r="P120" s="628">
        <f>+O65-P65</f>
        <v/>
      </c>
      <c r="Q120" s="628">
        <f>+P65-Q65</f>
        <v/>
      </c>
      <c r="R120" s="628">
        <f>+Q65-R65</f>
        <v/>
      </c>
      <c r="S120" s="628">
        <f>+R65-S65</f>
        <v/>
      </c>
      <c r="T120" s="628">
        <f>+S65-T65</f>
        <v/>
      </c>
    </row>
    <row r="121" ht="14.25" customHeight="1">
      <c r="A121" s="7" t="n"/>
      <c r="C121" s="339" t="inlineStr">
        <is>
          <t>Cash Flow from Investing</t>
        </is>
      </c>
      <c r="D121" s="339" t="n"/>
      <c r="E121" s="339" t="n"/>
      <c r="F121" s="339" t="n"/>
      <c r="G121" s="701">
        <f>SUM(G118:G120)</f>
        <v/>
      </c>
      <c r="H121" s="701">
        <f>SUM(H118:H120)</f>
        <v/>
      </c>
      <c r="I121" s="701">
        <f>SUM(I118:I120)</f>
        <v/>
      </c>
      <c r="J121" s="701">
        <f>SUM(J118:J120)</f>
        <v/>
      </c>
      <c r="K121" s="702">
        <f>SUM(K118:K120)</f>
        <v/>
      </c>
      <c r="L121" s="701">
        <f>SUM(L118:L120)</f>
        <v/>
      </c>
      <c r="M121" s="701">
        <f>SUM(M118:M120)</f>
        <v/>
      </c>
      <c r="N121" s="701">
        <f>SUM(N118:N120)</f>
        <v/>
      </c>
      <c r="O121" s="701">
        <f>SUM(O118:O120)</f>
        <v/>
      </c>
      <c r="P121" s="701">
        <f>SUM(P118:P120)</f>
        <v/>
      </c>
      <c r="Q121" s="701">
        <f>SUM(Q118:Q120)</f>
        <v/>
      </c>
      <c r="R121" s="701">
        <f>SUM(R118:R120)</f>
        <v/>
      </c>
      <c r="S121" s="701">
        <f>SUM(S118:S120)</f>
        <v/>
      </c>
      <c r="T121" s="701">
        <f>SUM(T118:T120)</f>
        <v/>
      </c>
    </row>
    <row r="122" ht="15" customHeight="1">
      <c r="A122" s="7" t="n"/>
      <c r="C122" s="95" t="n"/>
      <c r="D122" s="95" t="n"/>
      <c r="E122" s="95" t="n"/>
      <c r="F122" s="95" t="n"/>
      <c r="G122" s="703" t="n"/>
      <c r="H122" s="703" t="n"/>
      <c r="I122" s="703" t="n"/>
      <c r="J122" s="703" t="n"/>
      <c r="K122" s="704" t="n"/>
      <c r="L122" s="703" t="n"/>
      <c r="M122" s="703" t="n"/>
      <c r="N122" s="703" t="n"/>
      <c r="O122" s="703" t="n"/>
      <c r="P122" s="703" t="n"/>
      <c r="Q122" s="703" t="n"/>
      <c r="R122" s="703" t="n"/>
      <c r="S122" s="703" t="n"/>
      <c r="T122" s="703" t="n"/>
    </row>
    <row r="123" ht="14.25" customHeight="1">
      <c r="A123" s="7" t="n"/>
      <c r="C123" s="129" t="inlineStr">
        <is>
          <t>Cash Flow Available to Service Debt</t>
        </is>
      </c>
      <c r="D123" s="129" t="n"/>
      <c r="E123" s="129" t="n"/>
      <c r="F123" s="129" t="n"/>
      <c r="G123" s="678">
        <f>SUM(G121,G116)</f>
        <v/>
      </c>
      <c r="H123" s="678">
        <f>SUM(H121,H116)</f>
        <v/>
      </c>
      <c r="I123" s="678">
        <f>SUM(I121,I116)</f>
        <v/>
      </c>
      <c r="J123" s="678">
        <f>SUM(J121,J116)</f>
        <v/>
      </c>
      <c r="K123" s="679">
        <f>SUM(K121,K116)</f>
        <v/>
      </c>
      <c r="L123" s="678">
        <f>SUM(L121,L116)</f>
        <v/>
      </c>
      <c r="M123" s="678">
        <f>SUM(M121,M116)</f>
        <v/>
      </c>
      <c r="N123" s="678">
        <f>SUM(N121,N116)</f>
        <v/>
      </c>
      <c r="O123" s="678">
        <f>SUM(O121,O116)</f>
        <v/>
      </c>
      <c r="P123" s="678">
        <f>SUM(P121,P116)</f>
        <v/>
      </c>
      <c r="Q123" s="678">
        <f>SUM(Q121,Q116)</f>
        <v/>
      </c>
      <c r="R123" s="678">
        <f>SUM(R121,R116)</f>
        <v/>
      </c>
      <c r="S123" s="678">
        <f>SUM(S121,S116)</f>
        <v/>
      </c>
      <c r="T123" s="678">
        <f>SUM(T121,T116)</f>
        <v/>
      </c>
    </row>
    <row r="124" ht="14.25" customHeight="1">
      <c r="A124" s="7" t="n"/>
      <c r="C124" s="95" t="n"/>
      <c r="D124" s="95" t="n"/>
      <c r="E124" s="95" t="n"/>
      <c r="F124" s="95" t="n"/>
      <c r="G124" s="703" t="n"/>
      <c r="H124" s="703" t="n"/>
      <c r="I124" s="703" t="n"/>
      <c r="J124" s="703" t="n"/>
      <c r="K124" s="704" t="n"/>
      <c r="L124" s="703" t="n"/>
      <c r="M124" s="703" t="n"/>
      <c r="N124" s="703" t="n"/>
      <c r="O124" s="703" t="n"/>
      <c r="P124" s="703" t="n"/>
      <c r="Q124" s="703" t="n"/>
      <c r="R124" s="703" t="n"/>
      <c r="S124" s="703" t="n"/>
      <c r="T124" s="703" t="n"/>
    </row>
    <row r="125" ht="14.25" customHeight="1">
      <c r="A125" s="7" t="n"/>
      <c r="C125" s="316">
        <f>'Historical Financials'!C120</f>
        <v/>
      </c>
      <c r="D125" s="95" t="n"/>
      <c r="E125" s="95" t="n"/>
      <c r="F125" s="95" t="n"/>
      <c r="G125" s="675">
        <f>'Historical Financials'!G120/Conversion_Rate</f>
        <v/>
      </c>
      <c r="H125" s="675">
        <f>'Historical Financials'!H120/Conversion_Rate</f>
        <v/>
      </c>
      <c r="I125" s="675">
        <f>'Historical Financials'!I120/Conversion_Rate</f>
        <v/>
      </c>
      <c r="J125" s="675">
        <f>'Historical Financials'!J120/Conversion_Rate</f>
        <v/>
      </c>
      <c r="K125" s="690">
        <f>+Drivers!K175</f>
        <v/>
      </c>
      <c r="L125" s="675">
        <f>+Drivers!L175</f>
        <v/>
      </c>
      <c r="M125" s="675">
        <f>+Drivers!M175</f>
        <v/>
      </c>
      <c r="N125" s="675">
        <f>+Drivers!N175</f>
        <v/>
      </c>
      <c r="O125" s="675">
        <f>+Drivers!O175</f>
        <v/>
      </c>
      <c r="P125" s="675">
        <f>+Drivers!P175</f>
        <v/>
      </c>
      <c r="Q125" s="675">
        <f>+Drivers!Q175</f>
        <v/>
      </c>
      <c r="R125" s="675">
        <f>+Drivers!R175</f>
        <v/>
      </c>
      <c r="S125" s="675">
        <f>+Drivers!S175</f>
        <v/>
      </c>
      <c r="T125" s="675">
        <f>+Drivers!T175</f>
        <v/>
      </c>
    </row>
    <row r="126" ht="14.25" customHeight="1">
      <c r="A126" s="7" t="n"/>
      <c r="C126" s="316">
        <f>'Historical Financials'!C122</f>
        <v/>
      </c>
      <c r="D126" s="95" t="n"/>
      <c r="E126" s="95" t="n"/>
      <c r="F126" s="95" t="n"/>
      <c r="G126" s="686">
        <f>'Historical Financials'!G122/Conversion_Rate</f>
        <v/>
      </c>
      <c r="H126" s="686">
        <f>'Historical Financials'!H122/Conversion_Rate</f>
        <v/>
      </c>
      <c r="I126" s="686">
        <f>'Historical Financials'!I122/Conversion_Rate</f>
        <v/>
      </c>
      <c r="J126" s="686">
        <f>'Historical Financials'!J122/Conversion_Rate</f>
        <v/>
      </c>
      <c r="K126" s="686">
        <f>+Drivers!K180</f>
        <v/>
      </c>
      <c r="L126" s="686">
        <f>+Drivers!L180</f>
        <v/>
      </c>
      <c r="M126" s="686">
        <f>+Drivers!M180</f>
        <v/>
      </c>
      <c r="N126" s="686">
        <f>+Drivers!N180</f>
        <v/>
      </c>
      <c r="O126" s="686">
        <f>+Drivers!O180</f>
        <v/>
      </c>
      <c r="P126" s="686">
        <f>+Drivers!P180</f>
        <v/>
      </c>
      <c r="Q126" s="686">
        <f>+Drivers!Q180</f>
        <v/>
      </c>
      <c r="R126" s="686">
        <f>+Drivers!R180</f>
        <v/>
      </c>
      <c r="S126" s="686">
        <f>+Drivers!S180</f>
        <v/>
      </c>
      <c r="T126" s="686">
        <f>+Drivers!T180</f>
        <v/>
      </c>
    </row>
    <row r="127" ht="14.25" customHeight="1">
      <c r="A127" s="7" t="n"/>
      <c r="C127" s="319">
        <f>"∆ "&amp;C83</f>
        <v/>
      </c>
      <c r="D127" s="95" t="n"/>
      <c r="E127" s="95" t="n"/>
      <c r="F127" s="95" t="n"/>
      <c r="G127" s="709">
        <f>G83-(-169.365)</f>
        <v/>
      </c>
      <c r="H127" s="628">
        <f>H83-G83</f>
        <v/>
      </c>
      <c r="I127" s="628">
        <f>I83-H83</f>
        <v/>
      </c>
      <c r="J127" s="709">
        <f>J83-I83</f>
        <v/>
      </c>
      <c r="K127" s="628">
        <f>K83-J83</f>
        <v/>
      </c>
      <c r="L127" s="628">
        <f>L83-K83</f>
        <v/>
      </c>
      <c r="M127" s="628">
        <f>M83-L83</f>
        <v/>
      </c>
      <c r="N127" s="628">
        <f>N83-M83</f>
        <v/>
      </c>
      <c r="O127" s="628">
        <f>O83-N83</f>
        <v/>
      </c>
      <c r="P127" s="628">
        <f>P83-O83</f>
        <v/>
      </c>
      <c r="Q127" s="628">
        <f>Q83-P83</f>
        <v/>
      </c>
      <c r="R127" s="628">
        <f>R83-Q83</f>
        <v/>
      </c>
      <c r="S127" s="628">
        <f>S83-R83</f>
        <v/>
      </c>
      <c r="T127" s="628">
        <f>T83-S83</f>
        <v/>
      </c>
    </row>
    <row r="128" ht="14.25" customHeight="1">
      <c r="A128" s="7" t="n"/>
      <c r="C128" s="319">
        <f>"∆ "&amp;C75</f>
        <v/>
      </c>
      <c r="D128" s="95" t="n"/>
      <c r="E128" s="95" t="n"/>
      <c r="F128" s="95" t="n"/>
      <c r="G128" s="709">
        <f>10.903-1.996</f>
        <v/>
      </c>
      <c r="H128" s="628">
        <f>+H75-G75</f>
        <v/>
      </c>
      <c r="I128" s="628">
        <f>+I75-H75</f>
        <v/>
      </c>
      <c r="J128" s="709">
        <f>+J75-I75</f>
        <v/>
      </c>
      <c r="K128" s="628">
        <f>+K75-J75</f>
        <v/>
      </c>
      <c r="L128" s="628">
        <f>+L75-K75</f>
        <v/>
      </c>
      <c r="M128" s="628">
        <f>+M75-L75</f>
        <v/>
      </c>
      <c r="N128" s="628">
        <f>+N75-M75</f>
        <v/>
      </c>
      <c r="O128" s="628">
        <f>+O75-N75</f>
        <v/>
      </c>
      <c r="P128" s="628">
        <f>+P75-O75</f>
        <v/>
      </c>
      <c r="Q128" s="628">
        <f>+Q75-P75</f>
        <v/>
      </c>
      <c r="R128" s="628">
        <f>+R75-Q75</f>
        <v/>
      </c>
      <c r="S128" s="628">
        <f>+S75-R75</f>
        <v/>
      </c>
      <c r="T128" s="628">
        <f>+T75-S75</f>
        <v/>
      </c>
    </row>
    <row r="129" ht="15" customHeight="1">
      <c r="A129" s="7" t="n"/>
      <c r="C129" s="319">
        <f>"∆ "&amp;C76</f>
        <v/>
      </c>
      <c r="D129" s="95" t="n"/>
      <c r="E129" s="95" t="n"/>
      <c r="F129" s="95" t="n"/>
      <c r="G129" s="709" t="n">
        <v>0</v>
      </c>
      <c r="H129" s="628">
        <f>+H76-G76</f>
        <v/>
      </c>
      <c r="I129" s="628">
        <f>+I76-H76</f>
        <v/>
      </c>
      <c r="J129" s="709">
        <f>+J76-I76</f>
        <v/>
      </c>
      <c r="K129" s="628">
        <f>+K76-J76</f>
        <v/>
      </c>
      <c r="L129" s="628">
        <f>+L76-K76</f>
        <v/>
      </c>
      <c r="M129" s="628">
        <f>+M76-L76</f>
        <v/>
      </c>
      <c r="N129" s="628">
        <f>+N76-M76</f>
        <v/>
      </c>
      <c r="O129" s="628">
        <f>+O76-N76</f>
        <v/>
      </c>
      <c r="P129" s="628">
        <f>+P76-O76</f>
        <v/>
      </c>
      <c r="Q129" s="628">
        <f>+Q76-P76</f>
        <v/>
      </c>
      <c r="R129" s="628">
        <f>+R76-Q76</f>
        <v/>
      </c>
      <c r="S129" s="628">
        <f>+S76-R76</f>
        <v/>
      </c>
      <c r="T129" s="628">
        <f>+T76-S76</f>
        <v/>
      </c>
    </row>
    <row r="130" ht="14.25" customHeight="1">
      <c r="A130" s="7" t="n"/>
      <c r="C130" s="319">
        <f>"∆ "&amp;C77</f>
        <v/>
      </c>
      <c r="D130" s="95" t="n"/>
      <c r="E130" s="95" t="n"/>
      <c r="F130" s="95" t="n"/>
      <c r="G130" s="709">
        <f>G77-(80.06+64.637+95.683)</f>
        <v/>
      </c>
      <c r="H130" s="708">
        <f>+H77-G77</f>
        <v/>
      </c>
      <c r="I130" s="708">
        <f>+I77-H77</f>
        <v/>
      </c>
      <c r="J130" s="709">
        <f>+J77-I77</f>
        <v/>
      </c>
      <c r="K130" s="628">
        <f>+K77-J77</f>
        <v/>
      </c>
      <c r="L130" s="628">
        <f>+L77-K77</f>
        <v/>
      </c>
      <c r="M130" s="628">
        <f>+M77-L77</f>
        <v/>
      </c>
      <c r="N130" s="628">
        <f>+N77-M77</f>
        <v/>
      </c>
      <c r="O130" s="628">
        <f>+O77-N77</f>
        <v/>
      </c>
      <c r="P130" s="628">
        <f>+P77-O77</f>
        <v/>
      </c>
      <c r="Q130" s="628">
        <f>+Q77-P77</f>
        <v/>
      </c>
      <c r="R130" s="628">
        <f>+R77-Q77</f>
        <v/>
      </c>
      <c r="S130" s="628">
        <f>+S77-R77</f>
        <v/>
      </c>
      <c r="T130" s="628">
        <f>+T77-S77</f>
        <v/>
      </c>
    </row>
    <row r="131" outlineLevel="1" ht="15" customHeight="1">
      <c r="A131" s="7" t="n"/>
      <c r="C131" s="273" t="inlineStr">
        <is>
          <t>Historical reconciling items (FX, option/ESPP proceeds, non-cash PP&amp;E &amp; intangible movements) - historical only</t>
        </is>
      </c>
      <c r="D131" s="274" t="n"/>
      <c r="E131" s="274" t="n"/>
      <c r="F131" s="274" t="n"/>
      <c r="G131" s="714">
        <f>'Historical Financials'!G59/Conversion_Rate-G135-SUM(G116,G121,G125:G130)</f>
        <v/>
      </c>
      <c r="H131" s="715">
        <f>'Historical Financials'!H59/Conversion_Rate-H135-SUM(H116,H121,H125:H130)</f>
        <v/>
      </c>
      <c r="I131" s="715">
        <f>'Historical Financials'!I59/Conversion_Rate-I135-SUM(I116,I121,I125:I130)</f>
        <v/>
      </c>
      <c r="J131" s="714">
        <f>'Historical Financials'!J59/Conversion_Rate-J135-SUM(J116,J121,J125:J130)</f>
        <v/>
      </c>
      <c r="K131" s="716" t="n"/>
      <c r="L131" s="715" t="n"/>
      <c r="M131" s="715" t="n"/>
      <c r="N131" s="715" t="n"/>
      <c r="O131" s="715" t="n"/>
      <c r="P131" s="715" t="n"/>
      <c r="Q131" s="715" t="n"/>
      <c r="R131" s="715" t="n"/>
      <c r="S131" s="715" t="n"/>
      <c r="T131" s="715" t="n"/>
    </row>
    <row r="132" ht="14.25" customHeight="1">
      <c r="A132" s="7" t="n"/>
      <c r="C132" s="339" t="inlineStr">
        <is>
          <t>Cash Flow from Financing Activities</t>
        </is>
      </c>
      <c r="D132" s="339" t="n"/>
      <c r="E132" s="339" t="n"/>
      <c r="F132" s="339" t="n"/>
      <c r="G132" s="701">
        <f>SUM(G125:G131)</f>
        <v/>
      </c>
      <c r="H132" s="701">
        <f>SUM(H125:H131)</f>
        <v/>
      </c>
      <c r="I132" s="701">
        <f>SUM(I125:I131)</f>
        <v/>
      </c>
      <c r="J132" s="701">
        <f>SUM(J125:J131)</f>
        <v/>
      </c>
      <c r="K132" s="702">
        <f>SUM(K125:K131)</f>
        <v/>
      </c>
      <c r="L132" s="701">
        <f>SUM(L125:L131)</f>
        <v/>
      </c>
      <c r="M132" s="701">
        <f>SUM(M125:M131)</f>
        <v/>
      </c>
      <c r="N132" s="701">
        <f>SUM(N125:N131)</f>
        <v/>
      </c>
      <c r="O132" s="701">
        <f>SUM(O125:O131)</f>
        <v/>
      </c>
      <c r="P132" s="701">
        <f>SUM(P125:P131)</f>
        <v/>
      </c>
      <c r="Q132" s="701">
        <f>SUM(Q125:Q131)</f>
        <v/>
      </c>
      <c r="R132" s="701">
        <f>SUM(R125:R131)</f>
        <v/>
      </c>
      <c r="S132" s="701">
        <f>SUM(S125:S131)</f>
        <v/>
      </c>
      <c r="T132" s="701">
        <f>SUM(T125:T131)</f>
        <v/>
      </c>
    </row>
    <row r="133" ht="15" customHeight="1">
      <c r="A133" s="7" t="n"/>
      <c r="C133" s="95" t="n"/>
      <c r="D133" s="95" t="n"/>
      <c r="E133" s="95" t="n"/>
      <c r="F133" s="95" t="n"/>
      <c r="G133" s="703" t="n"/>
      <c r="H133" s="703" t="n"/>
      <c r="I133" s="703" t="n"/>
      <c r="J133" s="703" t="n"/>
      <c r="K133" s="704" t="n"/>
      <c r="L133" s="703" t="n"/>
      <c r="M133" s="703" t="n"/>
      <c r="N133" s="703" t="n"/>
      <c r="O133" s="703" t="n"/>
      <c r="P133" s="703" t="n"/>
      <c r="Q133" s="703" t="n"/>
      <c r="R133" s="703" t="n"/>
      <c r="S133" s="703" t="n"/>
      <c r="T133" s="703" t="n"/>
    </row>
    <row r="134" ht="14.55" customFormat="1" customHeight="1" s="212">
      <c r="A134" s="342" t="n"/>
      <c r="C134" s="95" t="inlineStr">
        <is>
          <t>Change in Cash</t>
        </is>
      </c>
      <c r="D134" s="134" t="n"/>
      <c r="E134" s="134" t="n"/>
      <c r="F134" s="717" t="n"/>
      <c r="G134" s="682">
        <f>SUM(G132,G121,G116)</f>
        <v/>
      </c>
      <c r="H134" s="682">
        <f>SUM(H132,H121,H116)</f>
        <v/>
      </c>
      <c r="I134" s="682">
        <f>SUM(I132,I121,I116)</f>
        <v/>
      </c>
      <c r="J134" s="682">
        <f>SUM(J132,J121,J116)</f>
        <v/>
      </c>
      <c r="K134" s="682">
        <f>SUM(K132,K121,K116)</f>
        <v/>
      </c>
      <c r="L134" s="682">
        <f>SUM(L132,L121,L116)</f>
        <v/>
      </c>
      <c r="M134" s="682">
        <f>SUM(M132,M121,M116)</f>
        <v/>
      </c>
      <c r="N134" s="682">
        <f>SUM(N132,N121,N116)</f>
        <v/>
      </c>
      <c r="O134" s="682">
        <f>SUM(O132,O121,O116)</f>
        <v/>
      </c>
      <c r="P134" s="682">
        <f>SUM(P132,P121,P116)</f>
        <v/>
      </c>
      <c r="Q134" s="682">
        <f>SUM(Q132,Q121,Q116)</f>
        <v/>
      </c>
      <c r="R134" s="682">
        <f>SUM(R132,R121,R116)</f>
        <v/>
      </c>
      <c r="S134" s="682">
        <f>SUM(S132,S121,S116)</f>
        <v/>
      </c>
      <c r="T134" s="682">
        <f>SUM(T132,T121,T116)</f>
        <v/>
      </c>
    </row>
    <row r="135" ht="14.55" customHeight="1">
      <c r="A135" s="7" t="n"/>
      <c r="C135" s="278" t="inlineStr">
        <is>
          <t>+ Beginning Cash</t>
        </is>
      </c>
      <c r="D135" s="129" t="n"/>
      <c r="E135" s="129" t="n"/>
      <c r="F135" s="665" t="n"/>
      <c r="G135" s="709" t="n">
        <v>1384.236</v>
      </c>
      <c r="H135" s="718">
        <f>+G136</f>
        <v/>
      </c>
      <c r="I135" s="718">
        <f>+H136</f>
        <v/>
      </c>
      <c r="J135" s="709">
        <f>+I136</f>
        <v/>
      </c>
      <c r="K135" s="719">
        <f>+J136</f>
        <v/>
      </c>
      <c r="L135" s="718">
        <f>+K136</f>
        <v/>
      </c>
      <c r="M135" s="718">
        <f>+L136</f>
        <v/>
      </c>
      <c r="N135" s="718">
        <f>+M136</f>
        <v/>
      </c>
      <c r="O135" s="718">
        <f>+N136</f>
        <v/>
      </c>
      <c r="P135" s="718">
        <f>+O136</f>
        <v/>
      </c>
      <c r="Q135" s="718">
        <f>+P136</f>
        <v/>
      </c>
      <c r="R135" s="718">
        <f>+Q136</f>
        <v/>
      </c>
      <c r="S135" s="718">
        <f>+R136</f>
        <v/>
      </c>
      <c r="T135" s="718">
        <f>+S136</f>
        <v/>
      </c>
    </row>
    <row r="136" ht="15" customHeight="1" thickBot="1">
      <c r="A136" s="7" t="inlineStr">
        <is>
          <t>X</t>
        </is>
      </c>
      <c r="C136" s="343" t="inlineStr">
        <is>
          <t>Ending Cash</t>
        </is>
      </c>
      <c r="D136" s="344" t="n"/>
      <c r="E136" s="344" t="n"/>
      <c r="F136" s="720" t="n"/>
      <c r="G136" s="721">
        <f>SUM(G135,G134)</f>
        <v/>
      </c>
      <c r="H136" s="722">
        <f>SUM(H135,H134)</f>
        <v/>
      </c>
      <c r="I136" s="722">
        <f>SUM(I135,I134)</f>
        <v/>
      </c>
      <c r="J136" s="721">
        <f>SUM(J135,J134)</f>
        <v/>
      </c>
      <c r="K136" s="723">
        <f>SUM(K135,K134)</f>
        <v/>
      </c>
      <c r="L136" s="722">
        <f>SUM(L135,L134)</f>
        <v/>
      </c>
      <c r="M136" s="722">
        <f>SUM(M135,M134)</f>
        <v/>
      </c>
      <c r="N136" s="722">
        <f>SUM(N135,N134)</f>
        <v/>
      </c>
      <c r="O136" s="722">
        <f>SUM(O135,O134)</f>
        <v/>
      </c>
      <c r="P136" s="722">
        <f>SUM(P135,P134)</f>
        <v/>
      </c>
      <c r="Q136" s="722">
        <f>SUM(Q135,Q134)</f>
        <v/>
      </c>
      <c r="R136" s="722">
        <f>SUM(R135,R134)</f>
        <v/>
      </c>
      <c r="S136" s="722">
        <f>SUM(S135,S134)</f>
        <v/>
      </c>
      <c r="T136" s="722">
        <f>SUM(T135,T134)</f>
        <v/>
      </c>
    </row>
    <row r="137" ht="10.05" customHeight="1" thickTop="1"/>
    <row r="139">
      <c r="C139" s="191" t="inlineStr">
        <is>
          <t>Check</t>
        </is>
      </c>
      <c r="D139" s="191" t="n"/>
      <c r="E139" s="191" t="n"/>
      <c r="F139" s="191" t="n"/>
      <c r="G139" s="628">
        <f>+G50-G136</f>
        <v/>
      </c>
      <c r="H139" s="628">
        <f>+H50-H136</f>
        <v/>
      </c>
      <c r="I139" s="628">
        <f>+I50-I136</f>
        <v/>
      </c>
      <c r="J139" s="628">
        <f>+J50-J136</f>
        <v/>
      </c>
      <c r="K139" s="628">
        <f>+K50-K136</f>
        <v/>
      </c>
      <c r="L139" s="628">
        <f>+L50-L136</f>
        <v/>
      </c>
      <c r="M139" s="628">
        <f>+M50-M136</f>
        <v/>
      </c>
      <c r="N139" s="628">
        <f>+N50-N136</f>
        <v/>
      </c>
      <c r="O139" s="628">
        <f>+O50-O136</f>
        <v/>
      </c>
      <c r="P139" s="628">
        <f>+P50-P136</f>
        <v/>
      </c>
      <c r="Q139" s="628">
        <f>+Q50-Q136</f>
        <v/>
      </c>
      <c r="R139" s="628">
        <f>+R50-R136</f>
        <v/>
      </c>
      <c r="S139" s="628">
        <f>+S50-S136</f>
        <v/>
      </c>
      <c r="T139" s="628">
        <f>+T50-T136</f>
        <v/>
      </c>
    </row>
    <row r="141" hidden="1" ht="13.9" customHeight="1">
      <c r="A141" s="7" t="n"/>
      <c r="C141" s="9" t="n"/>
      <c r="D141" s="10" t="n"/>
      <c r="E141" s="10" t="n"/>
      <c r="F141" s="10" t="n"/>
      <c r="G141" s="242" t="n"/>
      <c r="H141" s="243" t="n"/>
      <c r="I141" s="243" t="n"/>
      <c r="J141" s="243" t="n"/>
      <c r="K141" s="243" t="n"/>
      <c r="L141" s="243" t="n"/>
      <c r="M141" s="243" t="n"/>
      <c r="N141" s="243" t="n"/>
      <c r="O141" s="243" t="n"/>
      <c r="P141" s="243" t="n"/>
      <c r="Q141" s="243" t="n"/>
      <c r="R141" s="243" t="n"/>
      <c r="S141" s="243" t="n"/>
      <c r="T141" s="243" t="n"/>
    </row>
    <row r="142" hidden="1">
      <c r="B142" s="724" t="n"/>
      <c r="C142" s="724" t="n"/>
      <c r="D142" s="724" t="n"/>
      <c r="E142" s="724" t="n"/>
      <c r="F142" s="724" t="n"/>
      <c r="G142" s="724" t="n"/>
      <c r="H142" s="724" t="n"/>
      <c r="I142" s="724" t="n"/>
      <c r="J142" s="724" t="n"/>
      <c r="K142" s="724" t="n"/>
      <c r="L142" s="724" t="n"/>
      <c r="M142" s="724" t="n"/>
      <c r="N142" s="724" t="n"/>
      <c r="O142" s="724" t="n"/>
      <c r="P142" s="724" t="n"/>
      <c r="Q142" s="724" t="n"/>
      <c r="R142" s="724" t="n"/>
      <c r="S142" s="724" t="n"/>
      <c r="T142" s="724" t="n"/>
    </row>
  </sheetData>
  <pageMargins left="0.7" right="0.7" top="0.75" bottom="0.75" header="0.3" footer="0.3"/>
  <pageSetup orientation="portrait" scale="34"/>
</worksheet>
</file>

<file path=xl/worksheets/sheet11.xml><?xml version="1.0" encoding="utf-8"?>
<worksheet xmlns="http://schemas.openxmlformats.org/spreadsheetml/2006/main">
  <sheetPr>
    <tabColor theme="0" tint="-0.0499893185216834"/>
    <outlinePr summaryBelow="1" summaryRight="1"/>
    <pageSetUpPr/>
  </sheetPr>
  <dimension ref="A3:V218"/>
  <sheetViews>
    <sheetView showGridLines="0" view="pageBreakPreview" topLeftCell="A135" zoomScale="70" zoomScaleNormal="85" zoomScaleSheetLayoutView="70" workbookViewId="0">
      <selection activeCell="A1" sqref="A1"/>
    </sheetView>
  </sheetViews>
  <sheetFormatPr baseColWidth="8" defaultColWidth="0" defaultRowHeight="12.75" zeroHeight="1" outlineLevelRow="2"/>
  <cols>
    <col width="1.59765625" customWidth="1" min="1" max="2"/>
    <col width="9.19921875" customWidth="1" min="3" max="6"/>
    <col width="10.59765625" customWidth="1" min="7" max="20"/>
    <col width="1.59765625" customWidth="1" min="21" max="21"/>
    <col width="60.59765625" customWidth="1" min="22" max="22"/>
    <col width="1.59765625" customWidth="1" min="23" max="23"/>
    <col hidden="1" width="8.73046875" customWidth="1" min="24" max="16384"/>
  </cols>
  <sheetData>
    <row r="3" outlineLevel="1" ht="15" customFormat="1" customHeight="1" s="8">
      <c r="A3" s="7" t="n"/>
      <c r="C3" s="9" t="n"/>
      <c r="D3" s="10" t="n"/>
      <c r="E3" s="10" t="n"/>
      <c r="F3" s="10" t="n"/>
      <c r="G3" s="242" t="n"/>
      <c r="H3" s="243" t="n"/>
      <c r="I3" s="243" t="n"/>
      <c r="J3" s="243" t="n"/>
      <c r="K3" s="243" t="n"/>
      <c r="L3" s="243" t="n"/>
      <c r="M3" s="243" t="n"/>
      <c r="N3" s="243" t="n"/>
      <c r="O3" s="243" t="n"/>
      <c r="P3" s="243" t="n"/>
      <c r="Q3" s="243" t="n"/>
      <c r="R3" s="243" t="n"/>
      <c r="S3" s="243" t="n"/>
      <c r="T3" s="243" t="n"/>
      <c r="V3" s="359" t="inlineStr">
        <is>
          <t>Notes</t>
        </is>
      </c>
    </row>
    <row r="4" outlineLevel="1" ht="14.55" customFormat="1" customHeight="1" s="8">
      <c r="A4" s="318" t="n"/>
      <c r="C4" s="210">
        <f>Assumptions!G5</f>
        <v/>
      </c>
      <c r="D4" s="54" t="n"/>
      <c r="E4" s="54" t="n"/>
      <c r="F4" s="54" t="n"/>
      <c r="G4" s="54" t="n"/>
      <c r="H4" s="54" t="n"/>
      <c r="I4" s="54" t="n"/>
      <c r="J4" s="55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5" t="n"/>
    </row>
    <row r="5" outlineLevel="1" ht="14.55" customFormat="1" customHeight="1" s="8">
      <c r="A5" s="7" t="inlineStr">
        <is>
          <t>X</t>
        </is>
      </c>
      <c r="C5" s="210" t="inlineStr">
        <is>
          <t>Income Statement Drivers</t>
        </is>
      </c>
      <c r="D5" s="54" t="n"/>
      <c r="E5" s="54" t="n"/>
      <c r="F5" s="54" t="n"/>
      <c r="G5" s="54" t="n"/>
      <c r="H5" s="54" t="n"/>
      <c r="I5" s="54" t="n"/>
      <c r="J5" s="211" t="inlineStr">
        <is>
          <t>FY26A / LTM</t>
        </is>
      </c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5" t="n"/>
    </row>
    <row r="6" outlineLevel="1" ht="14.55" customFormat="1" customHeight="1" s="8">
      <c r="A6" s="318" t="n"/>
      <c r="C6" s="210">
        <f>Assumptions!$G$9</f>
        <v/>
      </c>
      <c r="D6" s="54" t="n"/>
      <c r="E6" s="54" t="n"/>
      <c r="F6" s="54" t="n"/>
      <c r="G6" s="54">
        <f>'Historical Financials'!G5</f>
        <v/>
      </c>
      <c r="H6" s="54">
        <f>'Historical Financials'!H5</f>
        <v/>
      </c>
      <c r="I6" s="54">
        <f>'Historical Financials'!I5</f>
        <v/>
      </c>
      <c r="J6" s="674">
        <f>'Historical Financials'!J5</f>
        <v/>
      </c>
      <c r="K6" s="54">
        <f>"FY"&amp;'Financial Model'!K$1&amp;"E"</f>
        <v/>
      </c>
      <c r="L6" s="54">
        <f>"FY"&amp;'Financial Model'!L$1&amp;"E"</f>
        <v/>
      </c>
      <c r="M6" s="54">
        <f>"FY"&amp;'Financial Model'!M$1&amp;"E"</f>
        <v/>
      </c>
      <c r="N6" s="54">
        <f>"FY"&amp;'Financial Model'!N$1&amp;"E"</f>
        <v/>
      </c>
      <c r="O6" s="54">
        <f>"FY"&amp;'Financial Model'!O$1&amp;"E"</f>
        <v/>
      </c>
      <c r="P6" s="54">
        <f>"FY"&amp;'Financial Model'!P$1&amp;"E"</f>
        <v/>
      </c>
      <c r="Q6" s="54">
        <f>"FY"&amp;'Financial Model'!Q$1&amp;"E"</f>
        <v/>
      </c>
      <c r="R6" s="54">
        <f>"FY"&amp;'Financial Model'!R$1&amp;"E"</f>
        <v/>
      </c>
      <c r="S6" s="54">
        <f>"FY"&amp;'Financial Model'!S$1&amp;"E"</f>
        <v/>
      </c>
      <c r="T6" s="55">
        <f>"FY"&amp;'Financial Model'!T$1&amp;"E"</f>
        <v/>
      </c>
    </row>
    <row r="7" outlineLevel="1" ht="5" customFormat="1" customHeight="1" s="8">
      <c r="A7" s="7" t="n"/>
      <c r="C7" s="9" t="n"/>
      <c r="D7" s="10" t="n"/>
      <c r="E7" s="10" t="n"/>
      <c r="F7" s="10" t="n"/>
      <c r="G7" s="242" t="n"/>
      <c r="H7" s="243" t="n"/>
      <c r="I7" s="243" t="n"/>
      <c r="J7" s="243" t="n"/>
      <c r="K7" s="243" t="n"/>
      <c r="L7" s="243" t="n"/>
      <c r="M7" s="243" t="n"/>
      <c r="N7" s="243" t="n"/>
      <c r="O7" s="243" t="n"/>
      <c r="P7" s="243" t="n"/>
      <c r="Q7" s="243" t="n"/>
      <c r="R7" s="243" t="n"/>
      <c r="S7" s="243" t="n"/>
      <c r="T7" s="243" t="n"/>
    </row>
    <row r="8" outlineLevel="1" ht="14.25" customFormat="1" customHeight="1" s="8">
      <c r="A8" s="7" t="n"/>
      <c r="C8" s="371">
        <f>+'Financial Model'!C7</f>
        <v/>
      </c>
      <c r="D8" s="244" t="n"/>
      <c r="E8" s="244" t="n"/>
      <c r="F8" s="244" t="n"/>
      <c r="G8" s="725">
        <f>+'Financial Model'!G7</f>
        <v/>
      </c>
      <c r="H8" s="725">
        <f>+'Financial Model'!H7</f>
        <v/>
      </c>
      <c r="I8" s="725">
        <f>+'Financial Model'!I7</f>
        <v/>
      </c>
      <c r="J8" s="725">
        <f>+'Financial Model'!J7</f>
        <v/>
      </c>
      <c r="K8" s="678">
        <f>+K10*K11</f>
        <v/>
      </c>
      <c r="L8" s="678">
        <f>+L10*L11</f>
        <v/>
      </c>
      <c r="M8" s="678">
        <f>+M10*M11</f>
        <v/>
      </c>
      <c r="N8" s="678">
        <f>+N10*N11</f>
        <v/>
      </c>
      <c r="O8" s="678">
        <f>+O10*O11</f>
        <v/>
      </c>
      <c r="P8" s="678">
        <f>+P10*P11</f>
        <v/>
      </c>
      <c r="Q8" s="678">
        <f>+Q10*Q11</f>
        <v/>
      </c>
      <c r="R8" s="678">
        <f>+R10*R11</f>
        <v/>
      </c>
      <c r="S8" s="678">
        <f>+S10*S11</f>
        <v/>
      </c>
      <c r="T8" s="678">
        <f>+T10*T11</f>
        <v/>
      </c>
    </row>
    <row r="9" outlineLevel="1" ht="5.2" customFormat="1" customHeight="1" s="8">
      <c r="A9" s="7" t="n"/>
      <c r="C9" s="245" t="n"/>
      <c r="D9" s="94" t="n"/>
      <c r="E9" s="94" t="n"/>
      <c r="F9" s="94" t="n"/>
      <c r="G9" s="246" t="n"/>
      <c r="H9" s="247" t="n"/>
      <c r="I9" s="247" t="n"/>
      <c r="J9" s="247" t="n"/>
      <c r="K9" s="247" t="n"/>
      <c r="L9" s="247" t="n"/>
      <c r="M9" s="247" t="n"/>
      <c r="N9" s="247" t="n"/>
      <c r="O9" s="247" t="n"/>
      <c r="P9" s="247" t="n"/>
      <c r="Q9" s="247" t="n"/>
      <c r="R9" s="247" t="n"/>
      <c r="S9" s="247" t="n"/>
      <c r="T9" s="247" t="n"/>
    </row>
    <row r="10" outlineLevel="1" ht="14.25" customFormat="1" customHeight="1" s="8">
      <c r="A10" s="7" t="n"/>
      <c r="C10" s="147" t="inlineStr">
        <is>
          <t>Units sold (millions) - indexed to memo 4.0M FY26 anchor</t>
        </is>
      </c>
      <c r="D10" s="94" t="n"/>
      <c r="E10" s="94" t="n"/>
      <c r="F10" s="94" t="n"/>
      <c r="G10" s="726">
        <f>H10/(1+H192)</f>
        <v/>
      </c>
      <c r="H10" s="726">
        <f>I10/(1+I192)</f>
        <v/>
      </c>
      <c r="I10" s="726">
        <f>J10/(1+J192)</f>
        <v/>
      </c>
      <c r="J10" s="726">
        <f>Support!$D$68</f>
        <v/>
      </c>
      <c r="K10" s="727">
        <f>J10*(1+K192)</f>
        <v/>
      </c>
      <c r="L10" s="727">
        <f>K10*(1+L192)</f>
        <v/>
      </c>
      <c r="M10" s="727">
        <f>L10*(1+M192)</f>
        <v/>
      </c>
      <c r="N10" s="727">
        <f>M10*(1+N192)</f>
        <v/>
      </c>
      <c r="O10" s="727">
        <f>N10*(1+O192)</f>
        <v/>
      </c>
      <c r="P10" s="727">
        <f>O10*(1+P192)</f>
        <v/>
      </c>
      <c r="Q10" s="727">
        <f>P10*(1+Q192)</f>
        <v/>
      </c>
      <c r="R10" s="727">
        <f>Q10*(1+R192)</f>
        <v/>
      </c>
      <c r="S10" s="727">
        <f>R10*(1+S192)</f>
        <v/>
      </c>
      <c r="T10" s="727">
        <f>S10*(1+T192)</f>
        <v/>
      </c>
      <c r="V10" t="inlineStr">
        <is>
          <t>Units = prior x (1+total unit growth, row 192). Levels are an index anchored on the memo 4.0M FY26 base; only growth rates are company-disclosed.</t>
        </is>
      </c>
    </row>
    <row r="11" outlineLevel="1" ht="14.25" customFormat="1" customHeight="1" s="8">
      <c r="A11" s="7" t="n"/>
      <c r="C11" s="147" t="inlineStr">
        <is>
          <t>Service revenue per unit ($)</t>
        </is>
      </c>
      <c r="D11" s="94" t="n"/>
      <c r="E11" s="94" t="n"/>
      <c r="F11" s="94" t="n"/>
      <c r="G11" s="135">
        <f>G8/G10</f>
        <v/>
      </c>
      <c r="H11" s="135">
        <f>H8/H10</f>
        <v/>
      </c>
      <c r="I11" s="135">
        <f>I8/I10</f>
        <v/>
      </c>
      <c r="J11" s="135">
        <f>J8/J10</f>
        <v/>
      </c>
      <c r="K11" s="728">
        <f>J11*(1+K203)</f>
        <v/>
      </c>
      <c r="L11" s="728">
        <f>K11*(1+L203)</f>
        <v/>
      </c>
      <c r="M11" s="728">
        <f>L11*(1+M203)</f>
        <v/>
      </c>
      <c r="N11" s="728">
        <f>M11*(1+N203)</f>
        <v/>
      </c>
      <c r="O11" s="728">
        <f>N11*(1+O203)</f>
        <v/>
      </c>
      <c r="P11" s="728">
        <f>O11*(1+P203)</f>
        <v/>
      </c>
      <c r="Q11" s="728">
        <f>P11*(1+Q203)</f>
        <v/>
      </c>
      <c r="R11" s="728">
        <f>Q11*(1+R203)</f>
        <v/>
      </c>
      <c r="S11" s="728">
        <f>R11*(1+S203)</f>
        <v/>
      </c>
      <c r="T11" s="728">
        <f>S11*(1+T203)</f>
        <v/>
      </c>
      <c r="V11" t="inlineStr">
        <is>
          <t>Service revenue per unit = prior x (1+RPU growth, row 203).</t>
        </is>
      </c>
    </row>
    <row r="12" outlineLevel="2" ht="14.25" customFormat="1" customHeight="1" s="8">
      <c r="A12" s="7" t="n"/>
      <c r="C12" s="245" t="n"/>
      <c r="D12" s="94" t="n"/>
      <c r="E12" s="94" t="n"/>
      <c r="F12" s="94" t="n"/>
      <c r="G12" s="246" t="n"/>
      <c r="H12" s="247" t="n"/>
      <c r="I12" s="247" t="n"/>
      <c r="J12" s="247" t="n"/>
      <c r="K12" s="247" t="n"/>
      <c r="L12" s="247" t="n"/>
      <c r="M12" s="247" t="n"/>
      <c r="N12" s="247" t="n"/>
      <c r="O12" s="247" t="n"/>
      <c r="P12" s="247" t="n"/>
      <c r="Q12" s="247" t="n"/>
      <c r="R12" s="247" t="n"/>
      <c r="S12" s="247" t="n"/>
      <c r="T12" s="247" t="n"/>
    </row>
    <row r="13" outlineLevel="2" ht="14.25" customFormat="1" customHeight="1" s="8">
      <c r="A13" s="7" t="n"/>
      <c r="C13" s="371">
        <f>+'Financial Model'!C8</f>
        <v/>
      </c>
      <c r="D13" s="244" t="n"/>
      <c r="E13" s="244" t="n"/>
      <c r="F13" s="244" t="n"/>
      <c r="G13" s="725">
        <f>+'Financial Model'!G8</f>
        <v/>
      </c>
      <c r="H13" s="725">
        <f>+'Financial Model'!H8</f>
        <v/>
      </c>
      <c r="I13" s="725">
        <f>+'Financial Model'!I8</f>
        <v/>
      </c>
      <c r="J13" s="725">
        <f>+'Financial Model'!J8</f>
        <v/>
      </c>
      <c r="K13" s="678">
        <f>+K15*K16</f>
        <v/>
      </c>
      <c r="L13" s="678">
        <f>+L15*L16</f>
        <v/>
      </c>
      <c r="M13" s="678">
        <f>+M15*M16</f>
        <v/>
      </c>
      <c r="N13" s="678">
        <f>+N15*N16</f>
        <v/>
      </c>
      <c r="O13" s="678">
        <f>+O15*O16</f>
        <v/>
      </c>
      <c r="P13" s="678">
        <f>+P15*P16</f>
        <v/>
      </c>
      <c r="Q13" s="678">
        <f>+Q15*Q16</f>
        <v/>
      </c>
      <c r="R13" s="678">
        <f>+R15*R16</f>
        <v/>
      </c>
      <c r="S13" s="678">
        <f>+S15*S16</f>
        <v/>
      </c>
      <c r="T13" s="678">
        <f>+T15*T16</f>
        <v/>
      </c>
    </row>
    <row r="14" outlineLevel="2" ht="5.2" customFormat="1" customHeight="1" s="8">
      <c r="A14" s="7" t="n"/>
      <c r="C14" s="245" t="n"/>
      <c r="D14" s="94" t="n"/>
      <c r="E14" s="94" t="n"/>
      <c r="F14" s="94" t="n"/>
      <c r="G14" s="246" t="n"/>
      <c r="H14" s="247" t="n"/>
      <c r="I14" s="247" t="n"/>
      <c r="J14" s="247" t="n"/>
      <c r="K14" s="247" t="n"/>
      <c r="L14" s="247" t="n"/>
      <c r="M14" s="247" t="n"/>
      <c r="N14" s="247" t="n"/>
      <c r="O14" s="247" t="n"/>
      <c r="P14" s="247" t="n"/>
      <c r="Q14" s="247" t="n"/>
      <c r="R14" s="247" t="n"/>
      <c r="S14" s="247" t="n"/>
      <c r="T14" s="247" t="n"/>
    </row>
    <row r="15" outlineLevel="2" ht="14.25" customFormat="1" customHeight="1" s="8">
      <c r="A15" s="7" t="n"/>
      <c r="C15" s="147" t="inlineStr">
        <is>
          <t>Prior-year vehicle sales ($)</t>
        </is>
      </c>
      <c r="D15" s="94" t="n"/>
      <c r="E15" s="94" t="n"/>
      <c r="F15" s="94" t="n"/>
      <c r="G15" s="726" t="n">
        <v>647.881</v>
      </c>
      <c r="H15" s="726">
        <f>G13</f>
        <v/>
      </c>
      <c r="I15" s="726">
        <f>H13</f>
        <v/>
      </c>
      <c r="J15" s="726">
        <f>I13</f>
        <v/>
      </c>
      <c r="K15" s="729">
        <f>J13</f>
        <v/>
      </c>
      <c r="L15" s="729">
        <f>K13</f>
        <v/>
      </c>
      <c r="M15" s="729">
        <f>L13</f>
        <v/>
      </c>
      <c r="N15" s="729">
        <f>M13</f>
        <v/>
      </c>
      <c r="O15" s="729">
        <f>N13</f>
        <v/>
      </c>
      <c r="P15" s="729">
        <f>O13</f>
        <v/>
      </c>
      <c r="Q15" s="729">
        <f>P13</f>
        <v/>
      </c>
      <c r="R15" s="729">
        <f>Q13</f>
        <v/>
      </c>
      <c r="S15" s="729">
        <f>R13</f>
        <v/>
      </c>
      <c r="T15" s="729">
        <f>S13</f>
        <v/>
      </c>
    </row>
    <row r="16" outlineLevel="2" ht="14.25" customFormat="1" customHeight="1" s="8">
      <c r="A16" s="7" t="n"/>
      <c r="C16" s="147" t="inlineStr">
        <is>
          <t>Growth factor (units x price, same as service revenue)</t>
        </is>
      </c>
      <c r="D16" s="94" t="n"/>
      <c r="E16" s="94" t="n"/>
      <c r="F16" s="94" t="n"/>
      <c r="G16" s="135">
        <f>G13/G15</f>
        <v/>
      </c>
      <c r="H16" s="135">
        <f>H13/H15</f>
        <v/>
      </c>
      <c r="I16" s="135">
        <f>I13/I15</f>
        <v/>
      </c>
      <c r="J16" s="135">
        <f>J13/J15</f>
        <v/>
      </c>
      <c r="K16" s="730">
        <f>(1+K192)*(1+K203)</f>
        <v/>
      </c>
      <c r="L16" s="730">
        <f>(1+L192)*(1+L203)</f>
        <v/>
      </c>
      <c r="M16" s="730">
        <f>(1+M192)*(1+M203)</f>
        <v/>
      </c>
      <c r="N16" s="730">
        <f>(1+N192)*(1+N203)</f>
        <v/>
      </c>
      <c r="O16" s="730">
        <f>(1+O192)*(1+O203)</f>
        <v/>
      </c>
      <c r="P16" s="730">
        <f>(1+P192)*(1+P203)</f>
        <v/>
      </c>
      <c r="Q16" s="730">
        <f>(1+Q192)*(1+Q203)</f>
        <v/>
      </c>
      <c r="R16" s="730">
        <f>(1+R192)*(1+R203)</f>
        <v/>
      </c>
      <c r="S16" s="730">
        <f>(1+S192)*(1+S203)</f>
        <v/>
      </c>
      <c r="T16" s="730">
        <f>(1+T192)*(1+T203)</f>
        <v/>
      </c>
    </row>
    <row r="17" outlineLevel="1" ht="14.25" customFormat="1" customHeight="1" s="8" thickBot="1">
      <c r="A17" s="7" t="n"/>
      <c r="C17" s="249" t="n"/>
      <c r="D17" s="250" t="n"/>
      <c r="E17" s="250" t="n"/>
      <c r="F17" s="250" t="n"/>
      <c r="G17" s="251" t="n"/>
      <c r="H17" s="252" t="n"/>
      <c r="I17" s="252" t="n"/>
      <c r="J17" s="252" t="n"/>
      <c r="K17" s="252" t="n"/>
      <c r="L17" s="252" t="n"/>
      <c r="M17" s="252" t="n"/>
      <c r="N17" s="252" t="n"/>
      <c r="O17" s="252" t="n"/>
      <c r="P17" s="252" t="n"/>
      <c r="Q17" s="252" t="n"/>
      <c r="R17" s="252" t="n"/>
      <c r="S17" s="252" t="n"/>
      <c r="T17" s="252" t="n"/>
    </row>
    <row r="18" outlineLevel="1" ht="14.25" customFormat="1" customHeight="1" s="8">
      <c r="A18" s="7" t="n"/>
      <c r="C18" s="245" t="n"/>
      <c r="D18" s="94" t="n"/>
      <c r="E18" s="94" t="n"/>
      <c r="F18" s="94" t="n"/>
      <c r="G18" s="246" t="n"/>
      <c r="H18" s="247" t="n"/>
      <c r="I18" s="247" t="n"/>
      <c r="J18" s="247" t="n"/>
      <c r="K18" s="247" t="n"/>
      <c r="L18" s="247" t="n"/>
      <c r="M18" s="247" t="n"/>
      <c r="N18" s="247" t="n"/>
      <c r="O18" s="247" t="n"/>
      <c r="P18" s="247" t="n"/>
      <c r="Q18" s="247" t="n"/>
      <c r="R18" s="247" t="n"/>
      <c r="S18" s="247" t="n"/>
      <c r="T18" s="247" t="n"/>
    </row>
    <row r="19" outlineLevel="1" ht="14.25" customFormat="1" customHeight="1" s="8">
      <c r="A19" s="7" t="n"/>
      <c r="C19" s="371">
        <f>+'Financial Model'!C12</f>
        <v/>
      </c>
      <c r="D19" s="244" t="n"/>
      <c r="E19" s="244" t="n"/>
      <c r="F19" s="244" t="n"/>
      <c r="G19" s="725">
        <f>+'Financial Model'!G12</f>
        <v/>
      </c>
      <c r="H19" s="725">
        <f>+'Financial Model'!H12</f>
        <v/>
      </c>
      <c r="I19" s="725">
        <f>+'Financial Model'!I12</f>
        <v/>
      </c>
      <c r="J19" s="725">
        <f>+'Financial Model'!J12</f>
        <v/>
      </c>
      <c r="K19" s="678">
        <f>+K21*K22</f>
        <v/>
      </c>
      <c r="L19" s="678">
        <f>+L21*L22</f>
        <v/>
      </c>
      <c r="M19" s="678">
        <f>+M21*M22</f>
        <v/>
      </c>
      <c r="N19" s="678">
        <f>+N21*N22</f>
        <v/>
      </c>
      <c r="O19" s="678">
        <f>+O21*O22</f>
        <v/>
      </c>
      <c r="P19" s="678">
        <f>+P21*P22</f>
        <v/>
      </c>
      <c r="Q19" s="678">
        <f>+Q21*Q22</f>
        <v/>
      </c>
      <c r="R19" s="678">
        <f>+R21*R22</f>
        <v/>
      </c>
      <c r="S19" s="678">
        <f>+S21*S22</f>
        <v/>
      </c>
      <c r="T19" s="678">
        <f>+T21*T22</f>
        <v/>
      </c>
    </row>
    <row r="20" outlineLevel="1" ht="5.2" customFormat="1" customHeight="1" s="8">
      <c r="A20" s="7" t="n"/>
      <c r="C20" s="245" t="n"/>
      <c r="D20" s="94" t="n"/>
      <c r="E20" s="94" t="n"/>
      <c r="F20" s="94" t="n"/>
      <c r="G20" s="246" t="n"/>
      <c r="H20" s="247" t="n"/>
      <c r="I20" s="247" t="n"/>
      <c r="J20" s="247" t="n"/>
      <c r="K20" s="247" t="n"/>
      <c r="L20" s="247" t="n"/>
      <c r="M20" s="247" t="n"/>
      <c r="N20" s="247" t="n"/>
      <c r="O20" s="247" t="n"/>
      <c r="P20" s="247" t="n"/>
      <c r="Q20" s="247" t="n"/>
      <c r="R20" s="247" t="n"/>
      <c r="S20" s="247" t="n"/>
      <c r="T20" s="247" t="n"/>
    </row>
    <row r="21" outlineLevel="1" ht="14.25" customFormat="1" customHeight="1" s="8">
      <c r="A21" s="7" t="n"/>
      <c r="C21" s="147">
        <f>+C8</f>
        <v/>
      </c>
      <c r="D21" s="94" t="n"/>
      <c r="E21" s="94" t="n"/>
      <c r="F21" s="94" t="n"/>
      <c r="G21" s="700">
        <f>+G8</f>
        <v/>
      </c>
      <c r="H21" s="700">
        <f>+H8</f>
        <v/>
      </c>
      <c r="I21" s="700">
        <f>+I8</f>
        <v/>
      </c>
      <c r="J21" s="700">
        <f>+J8</f>
        <v/>
      </c>
      <c r="K21" s="700">
        <f>+K8</f>
        <v/>
      </c>
      <c r="L21" s="700">
        <f>+L8</f>
        <v/>
      </c>
      <c r="M21" s="700">
        <f>+M8</f>
        <v/>
      </c>
      <c r="N21" s="700">
        <f>+N8</f>
        <v/>
      </c>
      <c r="O21" s="700">
        <f>+O8</f>
        <v/>
      </c>
      <c r="P21" s="700">
        <f>+P8</f>
        <v/>
      </c>
      <c r="Q21" s="700">
        <f>+Q8</f>
        <v/>
      </c>
      <c r="R21" s="700">
        <f>+R8</f>
        <v/>
      </c>
      <c r="S21" s="700">
        <f>+S8</f>
        <v/>
      </c>
      <c r="T21" s="700">
        <f>+T8</f>
        <v/>
      </c>
    </row>
    <row r="22" outlineLevel="1" ht="14.25" customFormat="1" customHeight="1" s="8">
      <c r="A22" s="7" t="n"/>
      <c r="C22" s="147" t="inlineStr">
        <is>
          <t>% of Revenue 1</t>
        </is>
      </c>
      <c r="D22" s="94" t="n"/>
      <c r="E22" s="94" t="n"/>
      <c r="F22" s="94" t="n"/>
      <c r="G22" s="135">
        <f>+G19/G21</f>
        <v/>
      </c>
      <c r="H22" s="135">
        <f>+H19/H21</f>
        <v/>
      </c>
      <c r="I22" s="135">
        <f>+I19/I21</f>
        <v/>
      </c>
      <c r="J22" s="135">
        <f>+J19/J21</f>
        <v/>
      </c>
      <c r="K22" s="731">
        <f>('Financial Model'!K9*(1-K204)-'Financial Model'!K13-'Financial Model'!K24-SUM('Financial Model'!K30:K31)-K206)/K21</f>
        <v/>
      </c>
      <c r="L22" s="731">
        <f>('Financial Model'!L9*(1-L204)-'Financial Model'!L13-'Financial Model'!L24-SUM('Financial Model'!L30:L31)-L206)/L21</f>
        <v/>
      </c>
      <c r="M22" s="731">
        <f>('Financial Model'!M9*(1-M204)-'Financial Model'!M13-'Financial Model'!M24-SUM('Financial Model'!M30:M31)-M206)/M21</f>
        <v/>
      </c>
      <c r="N22" s="731">
        <f>('Financial Model'!N9*(1-N204)-'Financial Model'!N13-'Financial Model'!N24-SUM('Financial Model'!N30:N31)-N206)/N21</f>
        <v/>
      </c>
      <c r="O22" s="731">
        <f>('Financial Model'!O9*(1-O204)-'Financial Model'!O13-'Financial Model'!O24-SUM('Financial Model'!O30:O31)-O206)/O21</f>
        <v/>
      </c>
      <c r="P22" s="731">
        <f>('Financial Model'!P9*(1-P204)-'Financial Model'!P13-'Financial Model'!P24-SUM('Financial Model'!P30:P31)-P206)/P21</f>
        <v/>
      </c>
      <c r="Q22" s="731">
        <f>('Financial Model'!Q9*(1-Q204)-'Financial Model'!Q13-'Financial Model'!Q24-SUM('Financial Model'!Q30:Q31)-Q206)/Q21</f>
        <v/>
      </c>
      <c r="R22" s="731">
        <f>('Financial Model'!R9*(1-R204)-'Financial Model'!R13-'Financial Model'!R24-SUM('Financial Model'!R30:R31)-R206)/R21</f>
        <v/>
      </c>
      <c r="S22" s="731">
        <f>('Financial Model'!S9*(1-S204)-'Financial Model'!S13-'Financial Model'!S24-SUM('Financial Model'!S30:S31)-S206)/S21</f>
        <v/>
      </c>
      <c r="T22" s="731">
        <f>('Financial Model'!T9*(1-T204)-'Financial Model'!T13-'Financial Model'!T24-SUM('Financial Model'!T30:T31)-T206)/T21</f>
        <v/>
      </c>
      <c r="V22" s="360" t="inlineStr">
        <is>
          <t>This row carries the margin drop: 44.2% to 46.9% of service revenue in FY27E. It is the residual that delivers row 204. Base case: facility cost +$122M (+7.0%) on 3% fewer cars; per car, cost +10.3% vs revenue +4.0% (Q4 FY26 US: +14.2%).</t>
        </is>
      </c>
    </row>
    <row r="23" outlineLevel="2" ht="14.25" customFormat="1" customHeight="1" s="8">
      <c r="A23" s="7" t="n"/>
      <c r="C23" s="245" t="n"/>
      <c r="D23" s="94" t="n"/>
      <c r="E23" s="94" t="n"/>
      <c r="F23" s="94" t="n"/>
      <c r="G23" s="246" t="n"/>
      <c r="H23" s="247" t="n"/>
      <c r="I23" s="247" t="n"/>
      <c r="J23" s="247" t="n"/>
      <c r="K23" s="247" t="n"/>
      <c r="L23" s="247" t="n"/>
      <c r="M23" s="247" t="n"/>
      <c r="N23" s="247" t="n"/>
      <c r="O23" s="247" t="n"/>
      <c r="P23" s="247" t="n"/>
      <c r="Q23" s="247" t="n"/>
      <c r="R23" s="247" t="n"/>
      <c r="S23" s="247" t="n"/>
      <c r="T23" s="247" t="n"/>
    </row>
    <row r="24" outlineLevel="2" ht="14.25" customFormat="1" customHeight="1" s="8">
      <c r="A24" s="7" t="n"/>
      <c r="C24" s="371">
        <f>+'Financial Model'!C13</f>
        <v/>
      </c>
      <c r="D24" s="244" t="n"/>
      <c r="E24" s="244" t="n"/>
      <c r="F24" s="244" t="n"/>
      <c r="G24" s="725">
        <f>+'Financial Model'!G13</f>
        <v/>
      </c>
      <c r="H24" s="725">
        <f>+'Financial Model'!H13</f>
        <v/>
      </c>
      <c r="I24" s="725">
        <f>+'Financial Model'!I13</f>
        <v/>
      </c>
      <c r="J24" s="725">
        <f>+'Financial Model'!J13</f>
        <v/>
      </c>
      <c r="K24" s="678">
        <f>+K26*K27</f>
        <v/>
      </c>
      <c r="L24" s="678">
        <f>+L26*L27</f>
        <v/>
      </c>
      <c r="M24" s="678">
        <f>+M26*M27</f>
        <v/>
      </c>
      <c r="N24" s="678">
        <f>+N26*N27</f>
        <v/>
      </c>
      <c r="O24" s="678">
        <f>+O26*O27</f>
        <v/>
      </c>
      <c r="P24" s="678">
        <f>+P26*P27</f>
        <v/>
      </c>
      <c r="Q24" s="678">
        <f>+Q26*Q27</f>
        <v/>
      </c>
      <c r="R24" s="678">
        <f>+R26*R27</f>
        <v/>
      </c>
      <c r="S24" s="678">
        <f>+S26*S27</f>
        <v/>
      </c>
      <c r="T24" s="678">
        <f>+T26*T27</f>
        <v/>
      </c>
    </row>
    <row r="25" outlineLevel="2" ht="5.2" customFormat="1" customHeight="1" s="8">
      <c r="A25" s="7" t="n"/>
      <c r="C25" s="245" t="n"/>
      <c r="D25" s="94" t="n"/>
      <c r="E25" s="94" t="n"/>
      <c r="F25" s="94" t="n"/>
      <c r="G25" s="246" t="n"/>
      <c r="H25" s="247" t="n"/>
      <c r="I25" s="247" t="n"/>
      <c r="J25" s="247" t="n"/>
      <c r="K25" s="247" t="n"/>
      <c r="L25" s="247" t="n"/>
      <c r="M25" s="247" t="n"/>
      <c r="N25" s="247" t="n"/>
      <c r="O25" s="247" t="n"/>
      <c r="P25" s="247" t="n"/>
      <c r="Q25" s="247" t="n"/>
      <c r="R25" s="247" t="n"/>
      <c r="S25" s="247" t="n"/>
      <c r="T25" s="247" t="n"/>
    </row>
    <row r="26" outlineLevel="2" ht="14.25" customFormat="1" customHeight="1" s="8">
      <c r="A26" s="7" t="n"/>
      <c r="C26" s="147">
        <f>+C13</f>
        <v/>
      </c>
      <c r="D26" s="94" t="n"/>
      <c r="E26" s="94" t="n"/>
      <c r="F26" s="94" t="n"/>
      <c r="G26" s="700">
        <f>+G13</f>
        <v/>
      </c>
      <c r="H26" s="700">
        <f>+H13</f>
        <v/>
      </c>
      <c r="I26" s="700">
        <f>+I13</f>
        <v/>
      </c>
      <c r="J26" s="700">
        <f>+J13</f>
        <v/>
      </c>
      <c r="K26" s="700">
        <f>+K13</f>
        <v/>
      </c>
      <c r="L26" s="700">
        <f>+L13</f>
        <v/>
      </c>
      <c r="M26" s="700">
        <f>+M13</f>
        <v/>
      </c>
      <c r="N26" s="700">
        <f>+N13</f>
        <v/>
      </c>
      <c r="O26" s="700">
        <f>+O13</f>
        <v/>
      </c>
      <c r="P26" s="700">
        <f>+P13</f>
        <v/>
      </c>
      <c r="Q26" s="700">
        <f>+Q13</f>
        <v/>
      </c>
      <c r="R26" s="700">
        <f>+R13</f>
        <v/>
      </c>
      <c r="S26" s="700">
        <f>+S13</f>
        <v/>
      </c>
      <c r="T26" s="700">
        <f>+T13</f>
        <v/>
      </c>
    </row>
    <row r="27" outlineLevel="2" ht="14.25" customFormat="1" customHeight="1" s="8">
      <c r="A27" s="7" t="n"/>
      <c r="C27" s="147" t="inlineStr">
        <is>
          <t>% of Revenue 2</t>
        </is>
      </c>
      <c r="D27" s="94" t="n"/>
      <c r="E27" s="94" t="n"/>
      <c r="F27" s="94" t="n"/>
      <c r="G27" s="135">
        <f>+G24/G26</f>
        <v/>
      </c>
      <c r="H27" s="135">
        <f>+H24/H26</f>
        <v/>
      </c>
      <c r="I27" s="135">
        <f>+I24/I26</f>
        <v/>
      </c>
      <c r="J27" s="135">
        <f>+J24/J26</f>
        <v/>
      </c>
      <c r="K27" s="373">
        <f>$J$27</f>
        <v/>
      </c>
      <c r="L27" s="373">
        <f>$J$27</f>
        <v/>
      </c>
      <c r="M27" s="373">
        <f>$J$27</f>
        <v/>
      </c>
      <c r="N27" s="373">
        <f>$J$27</f>
        <v/>
      </c>
      <c r="O27" s="373">
        <f>$J$27</f>
        <v/>
      </c>
      <c r="P27" s="373">
        <f>$J$27</f>
        <v/>
      </c>
      <c r="Q27" s="373">
        <f>$J$27</f>
        <v/>
      </c>
      <c r="R27" s="373">
        <f>$J$27</f>
        <v/>
      </c>
      <c r="S27" s="373">
        <f>$J$27</f>
        <v/>
      </c>
      <c r="T27" s="373">
        <f>$J$27</f>
        <v/>
      </c>
      <c r="V27" s="360" t="inlineStr">
        <is>
          <t>Held at FY26 (88.5% of vehicle sales): not a source of the margin drop.</t>
        </is>
      </c>
    </row>
    <row r="28" outlineLevel="1" ht="14.25" customFormat="1" customHeight="1" s="8" thickBot="1">
      <c r="A28" s="7" t="n"/>
      <c r="C28" s="249" t="n"/>
      <c r="D28" s="250" t="n"/>
      <c r="E28" s="250" t="n"/>
      <c r="F28" s="250" t="n"/>
      <c r="G28" s="251" t="n"/>
      <c r="H28" s="252" t="n"/>
      <c r="I28" s="252" t="n"/>
      <c r="J28" s="252" t="n"/>
      <c r="K28" s="252" t="n"/>
      <c r="L28" s="252" t="n"/>
      <c r="M28" s="252" t="n"/>
      <c r="N28" s="252" t="n"/>
      <c r="O28" s="252" t="n"/>
      <c r="P28" s="252" t="n"/>
      <c r="Q28" s="252" t="n"/>
      <c r="R28" s="252" t="n"/>
      <c r="S28" s="252" t="n"/>
      <c r="T28" s="252" t="n"/>
    </row>
    <row r="29" outlineLevel="1" ht="14.25" customFormat="1" customHeight="1" s="8">
      <c r="A29" s="7" t="n"/>
      <c r="C29" s="245" t="n"/>
      <c r="D29" s="94" t="n"/>
      <c r="E29" s="94" t="n"/>
      <c r="F29" s="94" t="n"/>
      <c r="G29" s="246" t="n"/>
      <c r="H29" s="247" t="n"/>
      <c r="I29" s="247" t="n"/>
      <c r="J29" s="247" t="n"/>
      <c r="K29" s="247" t="n"/>
      <c r="L29" s="247" t="n"/>
      <c r="M29" s="247" t="n"/>
      <c r="N29" s="247" t="n"/>
      <c r="O29" s="247" t="n"/>
      <c r="P29" s="247" t="n"/>
      <c r="Q29" s="247" t="n"/>
      <c r="R29" s="247" t="n"/>
      <c r="S29" s="247" t="n"/>
      <c r="T29" s="247" t="n"/>
    </row>
    <row r="30" outlineLevel="1" ht="14.25" customFormat="1" customHeight="1" s="8">
      <c r="A30" s="7" t="n"/>
      <c r="C30" s="371">
        <f>+'Financial Model'!C21</f>
        <v/>
      </c>
      <c r="D30" s="244" t="n"/>
      <c r="E30" s="244" t="n"/>
      <c r="F30" s="244" t="n"/>
      <c r="G30" s="725">
        <f>+'Financial Model'!G21</f>
        <v/>
      </c>
      <c r="H30" s="725">
        <f>+'Financial Model'!H21</f>
        <v/>
      </c>
      <c r="I30" s="725">
        <f>+'Financial Model'!I21</f>
        <v/>
      </c>
      <c r="J30" s="725">
        <f>+'Financial Model'!J21</f>
        <v/>
      </c>
      <c r="K30" s="678">
        <f>+K32*K33</f>
        <v/>
      </c>
      <c r="L30" s="678">
        <f>+L32*L33</f>
        <v/>
      </c>
      <c r="M30" s="678">
        <f>+M32*M33</f>
        <v/>
      </c>
      <c r="N30" s="678">
        <f>+N32*N33</f>
        <v/>
      </c>
      <c r="O30" s="678">
        <f>+O32*O33</f>
        <v/>
      </c>
      <c r="P30" s="678">
        <f>+P32*P33</f>
        <v/>
      </c>
      <c r="Q30" s="678">
        <f>+Q32*Q33</f>
        <v/>
      </c>
      <c r="R30" s="678">
        <f>+R32*R33</f>
        <v/>
      </c>
      <c r="S30" s="678">
        <f>+S32*S33</f>
        <v/>
      </c>
      <c r="T30" s="678">
        <f>+T32*T33</f>
        <v/>
      </c>
    </row>
    <row r="31" outlineLevel="1" ht="5.2" customFormat="1" customHeight="1" s="8">
      <c r="A31" s="7" t="n"/>
      <c r="C31" s="245" t="n"/>
      <c r="D31" s="94" t="n"/>
      <c r="E31" s="94" t="n"/>
      <c r="F31" s="94" t="n"/>
      <c r="G31" s="246" t="n"/>
      <c r="H31" s="247" t="n"/>
      <c r="I31" s="247" t="n"/>
      <c r="J31" s="247" t="n"/>
      <c r="K31" s="247" t="n"/>
      <c r="L31" s="247" t="n"/>
      <c r="M31" s="247" t="n"/>
      <c r="N31" s="247" t="n"/>
      <c r="O31" s="247" t="n"/>
      <c r="P31" s="247" t="n"/>
      <c r="Q31" s="247" t="n"/>
      <c r="R31" s="247" t="n"/>
      <c r="S31" s="247" t="n"/>
      <c r="T31" s="247" t="n"/>
    </row>
    <row r="32" outlineLevel="1" ht="14.25" customFormat="1" customHeight="1" s="8">
      <c r="A32" s="7" t="n"/>
      <c r="C32" s="147" t="inlineStr">
        <is>
          <t>Total Revenue</t>
        </is>
      </c>
      <c r="D32" s="94" t="n"/>
      <c r="E32" s="94" t="n"/>
      <c r="F32" s="94" t="n"/>
      <c r="G32" s="675">
        <f>+'Financial Model'!G$9</f>
        <v/>
      </c>
      <c r="H32" s="675">
        <f>+'Financial Model'!H$9</f>
        <v/>
      </c>
      <c r="I32" s="675">
        <f>+'Financial Model'!I$9</f>
        <v/>
      </c>
      <c r="J32" s="675">
        <f>+'Financial Model'!J$9</f>
        <v/>
      </c>
      <c r="K32" s="675">
        <f>+'Financial Model'!K$9</f>
        <v/>
      </c>
      <c r="L32" s="675">
        <f>+'Financial Model'!L$9</f>
        <v/>
      </c>
      <c r="M32" s="675">
        <f>+'Financial Model'!M$9</f>
        <v/>
      </c>
      <c r="N32" s="675">
        <f>+'Financial Model'!N$9</f>
        <v/>
      </c>
      <c r="O32" s="675">
        <f>+'Financial Model'!O$9</f>
        <v/>
      </c>
      <c r="P32" s="675">
        <f>+'Financial Model'!P$9</f>
        <v/>
      </c>
      <c r="Q32" s="675">
        <f>+'Financial Model'!Q$9</f>
        <v/>
      </c>
      <c r="R32" s="675">
        <f>+'Financial Model'!R$9</f>
        <v/>
      </c>
      <c r="S32" s="675">
        <f>+'Financial Model'!S$9</f>
        <v/>
      </c>
      <c r="T32" s="675">
        <f>+'Financial Model'!T$9</f>
        <v/>
      </c>
    </row>
    <row r="33" outlineLevel="1" ht="14.25" customFormat="1" customHeight="1" s="8">
      <c r="A33" s="7" t="n"/>
      <c r="C33" s="147" t="inlineStr">
        <is>
          <t>% of Total Revenue</t>
        </is>
      </c>
      <c r="D33" s="94" t="n"/>
      <c r="E33" s="94" t="n"/>
      <c r="F33" s="94" t="n"/>
      <c r="G33" s="135">
        <f>+G30/G32</f>
        <v/>
      </c>
      <c r="H33" s="135">
        <f>+H30/H32</f>
        <v/>
      </c>
      <c r="I33" s="135">
        <f>+I30/I32</f>
        <v/>
      </c>
      <c r="J33" s="135">
        <f>+J30/J32</f>
        <v/>
      </c>
      <c r="K33" s="373">
        <f>$J$33</f>
        <v/>
      </c>
      <c r="L33" s="373">
        <f>$J$33</f>
        <v/>
      </c>
      <c r="M33" s="373">
        <f>$J$33</f>
        <v/>
      </c>
      <c r="N33" s="373">
        <f>$J$33</f>
        <v/>
      </c>
      <c r="O33" s="373">
        <f>$J$33</f>
        <v/>
      </c>
      <c r="P33" s="373">
        <f>$J$33</f>
        <v/>
      </c>
      <c r="Q33" s="373">
        <f>$J$33</f>
        <v/>
      </c>
      <c r="R33" s="373">
        <f>$J$33</f>
        <v/>
      </c>
      <c r="S33" s="373">
        <f>$J$33</f>
        <v/>
      </c>
      <c r="T33" s="373">
        <f>$J$33</f>
        <v/>
      </c>
      <c r="V33" s="360" t="inlineStr">
        <is>
          <t>Held at FY26 (8.6% of revenue): not a source of the FY27E drop. G&amp;A took 263bp of margin FY23A-FY26A (6.0% to 8.6%).</t>
        </is>
      </c>
    </row>
    <row r="34" outlineLevel="1" ht="14.25" customFormat="1" customHeight="1" s="8">
      <c r="A34" s="7" t="n"/>
      <c r="C34" s="245" t="n"/>
      <c r="D34" s="94" t="n"/>
      <c r="E34" s="94" t="n"/>
      <c r="F34" s="94" t="n"/>
      <c r="G34" s="246" t="n"/>
      <c r="H34" s="247" t="n"/>
      <c r="I34" s="247" t="n"/>
      <c r="J34" s="247" t="n"/>
      <c r="K34" s="247" t="n"/>
      <c r="L34" s="247" t="n"/>
      <c r="M34" s="247" t="n"/>
      <c r="N34" s="247" t="n"/>
      <c r="O34" s="247" t="n"/>
      <c r="P34" s="247" t="n"/>
      <c r="Q34" s="247" t="n"/>
      <c r="R34" s="247" t="n"/>
      <c r="S34" s="247" t="n"/>
      <c r="T34" s="247" t="n"/>
    </row>
    <row r="35" outlineLevel="1" ht="14.25" customFormat="1" customHeight="1" s="8">
      <c r="A35" s="7" t="n"/>
      <c r="C35" s="371">
        <f>+'Financial Model'!C22</f>
        <v/>
      </c>
      <c r="D35" s="244" t="n"/>
      <c r="E35" s="244" t="n"/>
      <c r="F35" s="244" t="n"/>
      <c r="G35" s="725">
        <f>+'Financial Model'!G22</f>
        <v/>
      </c>
      <c r="H35" s="725">
        <f>+'Financial Model'!H22</f>
        <v/>
      </c>
      <c r="I35" s="725">
        <f>+'Financial Model'!I22</f>
        <v/>
      </c>
      <c r="J35" s="725">
        <f>+'Financial Model'!J22</f>
        <v/>
      </c>
      <c r="K35" s="678">
        <f>+K37*K38</f>
        <v/>
      </c>
      <c r="L35" s="678">
        <f>+L37*L38</f>
        <v/>
      </c>
      <c r="M35" s="678">
        <f>+M37*M38</f>
        <v/>
      </c>
      <c r="N35" s="678">
        <f>+N37*N38</f>
        <v/>
      </c>
      <c r="O35" s="678">
        <f>+O37*O38</f>
        <v/>
      </c>
      <c r="P35" s="678">
        <f>+P37*P38</f>
        <v/>
      </c>
      <c r="Q35" s="678">
        <f>+Q37*Q38</f>
        <v/>
      </c>
      <c r="R35" s="678">
        <f>+R37*R38</f>
        <v/>
      </c>
      <c r="S35" s="678">
        <f>+S37*S38</f>
        <v/>
      </c>
      <c r="T35" s="678">
        <f>+T37*T38</f>
        <v/>
      </c>
    </row>
    <row r="36" outlineLevel="1" ht="5.2" customFormat="1" customHeight="1" s="8">
      <c r="A36" s="7" t="n"/>
      <c r="C36" s="245" t="n"/>
      <c r="D36" s="94" t="n"/>
      <c r="E36" s="94" t="n"/>
      <c r="F36" s="94" t="n"/>
      <c r="G36" s="246" t="n"/>
      <c r="H36" s="247" t="n"/>
      <c r="I36" s="247" t="n"/>
      <c r="J36" s="247" t="n"/>
      <c r="K36" s="247" t="n"/>
      <c r="L36" s="247" t="n"/>
      <c r="M36" s="247" t="n"/>
      <c r="N36" s="247" t="n"/>
      <c r="O36" s="247" t="n"/>
      <c r="P36" s="247" t="n"/>
      <c r="Q36" s="247" t="n"/>
      <c r="R36" s="247" t="n"/>
      <c r="S36" s="247" t="n"/>
      <c r="T36" s="247" t="n"/>
    </row>
    <row r="37" outlineLevel="1" ht="14.25" customFormat="1" customHeight="1" s="8">
      <c r="A37" s="7" t="n"/>
      <c r="C37" s="147" t="inlineStr">
        <is>
          <t>Total Revenue</t>
        </is>
      </c>
      <c r="D37" s="94" t="n"/>
      <c r="E37" s="94" t="n"/>
      <c r="F37" s="94" t="n"/>
      <c r="G37" s="675">
        <f>+'Financial Model'!G$9</f>
        <v/>
      </c>
      <c r="H37" s="675">
        <f>+'Financial Model'!H$9</f>
        <v/>
      </c>
      <c r="I37" s="675">
        <f>+'Financial Model'!I$9</f>
        <v/>
      </c>
      <c r="J37" s="675">
        <f>+'Financial Model'!J$9</f>
        <v/>
      </c>
      <c r="K37" s="675">
        <f>+'Financial Model'!K$9</f>
        <v/>
      </c>
      <c r="L37" s="675">
        <f>+'Financial Model'!L$9</f>
        <v/>
      </c>
      <c r="M37" s="675">
        <f>+'Financial Model'!M$9</f>
        <v/>
      </c>
      <c r="N37" s="675">
        <f>+'Financial Model'!N$9</f>
        <v/>
      </c>
      <c r="O37" s="675">
        <f>+'Financial Model'!O$9</f>
        <v/>
      </c>
      <c r="P37" s="675">
        <f>+'Financial Model'!P$9</f>
        <v/>
      </c>
      <c r="Q37" s="675">
        <f>+'Financial Model'!Q$9</f>
        <v/>
      </c>
      <c r="R37" s="675">
        <f>+'Financial Model'!R$9</f>
        <v/>
      </c>
      <c r="S37" s="675">
        <f>+'Financial Model'!S$9</f>
        <v/>
      </c>
      <c r="T37" s="675">
        <f>+'Financial Model'!T$9</f>
        <v/>
      </c>
    </row>
    <row r="38" outlineLevel="1" ht="14.25" customFormat="1" customHeight="1" s="8">
      <c r="A38" s="7" t="n"/>
      <c r="C38" s="147" t="inlineStr">
        <is>
          <t>% of Total Revenue</t>
        </is>
      </c>
      <c r="D38" s="94" t="n"/>
      <c r="E38" s="94" t="n"/>
      <c r="F38" s="94" t="n"/>
      <c r="G38" s="135">
        <f>+G35/G37</f>
        <v/>
      </c>
      <c r="H38" s="135">
        <f>+H35/H37</f>
        <v/>
      </c>
      <c r="I38" s="135">
        <f>+I35/I37</f>
        <v/>
      </c>
      <c r="J38" s="135">
        <f>+J35/J37</f>
        <v/>
      </c>
      <c r="K38" s="373" t="n">
        <v>0</v>
      </c>
      <c r="L38" s="373" t="n">
        <v>0</v>
      </c>
      <c r="M38" s="373" t="n">
        <v>0</v>
      </c>
      <c r="N38" s="373" t="n">
        <v>0</v>
      </c>
      <c r="O38" s="373" t="n">
        <v>0</v>
      </c>
      <c r="P38" s="373" t="n">
        <v>0</v>
      </c>
      <c r="Q38" s="373" t="n">
        <v>0</v>
      </c>
      <c r="R38" s="373" t="n">
        <v>0</v>
      </c>
      <c r="S38" s="373" t="n">
        <v>0</v>
      </c>
      <c r="T38" s="373" t="n">
        <v>0</v>
      </c>
    </row>
    <row r="39" outlineLevel="1" ht="14.25" customFormat="1" customHeight="1" s="8">
      <c r="A39" s="7" t="n"/>
      <c r="C39" s="245" t="n"/>
      <c r="D39" s="94" t="n"/>
      <c r="E39" s="94" t="n"/>
      <c r="F39" s="94" t="n"/>
      <c r="G39" s="246" t="n"/>
      <c r="H39" s="247" t="n"/>
      <c r="I39" s="247" t="n"/>
      <c r="J39" s="247" t="n"/>
      <c r="K39" s="247" t="n"/>
      <c r="L39" s="247" t="n"/>
      <c r="M39" s="247" t="n"/>
      <c r="N39" s="247" t="n"/>
      <c r="O39" s="247" t="n"/>
      <c r="P39" s="247" t="n"/>
      <c r="Q39" s="247" t="n"/>
      <c r="R39" s="247" t="n"/>
      <c r="S39" s="247" t="n"/>
      <c r="T39" s="247" t="n"/>
    </row>
    <row r="40" outlineLevel="1" ht="14.25" customFormat="1" customHeight="1" s="8">
      <c r="A40" s="7" t="n"/>
      <c r="C40" s="371">
        <f>+'Financial Model'!C23</f>
        <v/>
      </c>
      <c r="D40" s="244" t="n"/>
      <c r="E40" s="244" t="n"/>
      <c r="F40" s="244" t="n"/>
      <c r="G40" s="725">
        <f>+'Financial Model'!G23</f>
        <v/>
      </c>
      <c r="H40" s="725">
        <f>+'Financial Model'!H23</f>
        <v/>
      </c>
      <c r="I40" s="725">
        <f>+'Financial Model'!I23</f>
        <v/>
      </c>
      <c r="J40" s="725">
        <f>+'Financial Model'!J23</f>
        <v/>
      </c>
      <c r="K40" s="678">
        <f>+K42*K43</f>
        <v/>
      </c>
      <c r="L40" s="678">
        <f>+L42*L43</f>
        <v/>
      </c>
      <c r="M40" s="678">
        <f>+M42*M43</f>
        <v/>
      </c>
      <c r="N40" s="678">
        <f>+N42*N43</f>
        <v/>
      </c>
      <c r="O40" s="678">
        <f>+O42*O43</f>
        <v/>
      </c>
      <c r="P40" s="678">
        <f>+P42*P43</f>
        <v/>
      </c>
      <c r="Q40" s="678">
        <f>+Q42*Q43</f>
        <v/>
      </c>
      <c r="R40" s="678">
        <f>+R42*R43</f>
        <v/>
      </c>
      <c r="S40" s="678">
        <f>+S42*S43</f>
        <v/>
      </c>
      <c r="T40" s="678">
        <f>+T42*T43</f>
        <v/>
      </c>
    </row>
    <row r="41" outlineLevel="1" ht="5.2" customFormat="1" customHeight="1" s="8">
      <c r="A41" s="7" t="n"/>
      <c r="C41" s="245" t="n"/>
      <c r="D41" s="94" t="n"/>
      <c r="E41" s="94" t="n"/>
      <c r="F41" s="94" t="n"/>
      <c r="G41" s="246" t="n"/>
      <c r="H41" s="247" t="n"/>
      <c r="I41" s="247" t="n"/>
      <c r="J41" s="247" t="n"/>
      <c r="K41" s="247" t="n"/>
      <c r="L41" s="247" t="n"/>
      <c r="M41" s="247" t="n"/>
      <c r="N41" s="247" t="n"/>
      <c r="O41" s="247" t="n"/>
      <c r="P41" s="247" t="n"/>
      <c r="Q41" s="247" t="n"/>
      <c r="R41" s="247" t="n"/>
      <c r="S41" s="247" t="n"/>
      <c r="T41" s="247" t="n"/>
    </row>
    <row r="42" outlineLevel="1" ht="14.25" customFormat="1" customHeight="1" s="8">
      <c r="A42" s="7" t="n"/>
      <c r="C42" s="147" t="inlineStr">
        <is>
          <t>Total Revenue</t>
        </is>
      </c>
      <c r="D42" s="94" t="n"/>
      <c r="E42" s="94" t="n"/>
      <c r="F42" s="94" t="n"/>
      <c r="G42" s="675">
        <f>+'Financial Model'!G$9</f>
        <v/>
      </c>
      <c r="H42" s="675">
        <f>+'Financial Model'!H$9</f>
        <v/>
      </c>
      <c r="I42" s="675">
        <f>+'Financial Model'!I$9</f>
        <v/>
      </c>
      <c r="J42" s="675">
        <f>+'Financial Model'!J$9</f>
        <v/>
      </c>
      <c r="K42" s="675">
        <f>+'Financial Model'!K$9</f>
        <v/>
      </c>
      <c r="L42" s="675">
        <f>+'Financial Model'!L$9</f>
        <v/>
      </c>
      <c r="M42" s="675">
        <f>+'Financial Model'!M$9</f>
        <v/>
      </c>
      <c r="N42" s="675">
        <f>+'Financial Model'!N$9</f>
        <v/>
      </c>
      <c r="O42" s="675">
        <f>+'Financial Model'!O$9</f>
        <v/>
      </c>
      <c r="P42" s="675">
        <f>+'Financial Model'!P$9</f>
        <v/>
      </c>
      <c r="Q42" s="675">
        <f>+'Financial Model'!Q$9</f>
        <v/>
      </c>
      <c r="R42" s="675">
        <f>+'Financial Model'!R$9</f>
        <v/>
      </c>
      <c r="S42" s="675">
        <f>+'Financial Model'!S$9</f>
        <v/>
      </c>
      <c r="T42" s="675">
        <f>+'Financial Model'!T$9</f>
        <v/>
      </c>
    </row>
    <row r="43" outlineLevel="1" ht="14.25" customFormat="1" customHeight="1" s="8">
      <c r="A43" s="7" t="n"/>
      <c r="C43" s="147" t="inlineStr">
        <is>
          <t>% of Total Revenue</t>
        </is>
      </c>
      <c r="D43" s="94" t="n"/>
      <c r="E43" s="94" t="n"/>
      <c r="F43" s="94" t="n"/>
      <c r="G43" s="135">
        <f>+G40/G42</f>
        <v/>
      </c>
      <c r="H43" s="135">
        <f>+H40/H42</f>
        <v/>
      </c>
      <c r="I43" s="135">
        <f>+I40/I42</f>
        <v/>
      </c>
      <c r="J43" s="135">
        <f>+J40/J42</f>
        <v/>
      </c>
      <c r="K43" s="373" t="n">
        <v>0</v>
      </c>
      <c r="L43" s="373" t="n">
        <v>0</v>
      </c>
      <c r="M43" s="373" t="n">
        <v>0</v>
      </c>
      <c r="N43" s="373" t="n">
        <v>0</v>
      </c>
      <c r="O43" s="373" t="n">
        <v>0</v>
      </c>
      <c r="P43" s="373" t="n">
        <v>0</v>
      </c>
      <c r="Q43" s="373" t="n">
        <v>0</v>
      </c>
      <c r="R43" s="373" t="n">
        <v>0</v>
      </c>
      <c r="S43" s="373" t="n">
        <v>0</v>
      </c>
      <c r="T43" s="373" t="n">
        <v>0</v>
      </c>
    </row>
    <row r="44" outlineLevel="1" ht="14.25" customFormat="1" customHeight="1" s="8" thickBot="1">
      <c r="A44" s="7" t="n"/>
      <c r="C44" s="249" t="n"/>
      <c r="D44" s="250" t="n"/>
      <c r="E44" s="250" t="n"/>
      <c r="F44" s="250" t="n"/>
      <c r="G44" s="251" t="n"/>
      <c r="H44" s="252" t="n"/>
      <c r="I44" s="252" t="n"/>
      <c r="J44" s="252" t="n"/>
      <c r="K44" s="252" t="n"/>
      <c r="L44" s="252" t="n"/>
      <c r="M44" s="252" t="n"/>
      <c r="N44" s="252" t="n"/>
      <c r="O44" s="252" t="n"/>
      <c r="P44" s="252" t="n"/>
      <c r="Q44" s="252" t="n"/>
      <c r="R44" s="252" t="n"/>
      <c r="S44" s="252" t="n"/>
      <c r="T44" s="252" t="n"/>
    </row>
    <row r="45" outlineLevel="1" ht="14.25" customFormat="1" customHeight="1" s="8">
      <c r="A45" s="7" t="n"/>
      <c r="C45" s="245" t="n"/>
      <c r="D45" s="94" t="n"/>
      <c r="E45" s="94" t="n"/>
      <c r="F45" s="94" t="n"/>
      <c r="G45" s="246" t="n"/>
      <c r="H45" s="247" t="n"/>
      <c r="I45" s="247" t="n"/>
      <c r="J45" s="247" t="n"/>
      <c r="K45" s="247" t="n"/>
      <c r="L45" s="247" t="n"/>
      <c r="M45" s="247" t="n"/>
      <c r="N45" s="247" t="n"/>
      <c r="O45" s="247" t="n"/>
      <c r="P45" s="247" t="n"/>
      <c r="Q45" s="247" t="n"/>
      <c r="R45" s="247" t="n"/>
      <c r="S45" s="247" t="n"/>
      <c r="T45" s="247" t="n"/>
    </row>
    <row r="46" outlineLevel="1" ht="14.25" customFormat="1" customHeight="1" s="8">
      <c r="A46" s="7" t="n"/>
      <c r="C46" s="371" t="inlineStr">
        <is>
          <t>Depreciation</t>
        </is>
      </c>
      <c r="D46" s="244" t="n"/>
      <c r="E46" s="244" t="n"/>
      <c r="F46" s="244" t="n"/>
      <c r="G46" s="725">
        <f>+'Financial Model'!G30</f>
        <v/>
      </c>
      <c r="H46" s="725">
        <f>+'Financial Model'!H30</f>
        <v/>
      </c>
      <c r="I46" s="725">
        <f>+'Financial Model'!I30</f>
        <v/>
      </c>
      <c r="J46" s="725">
        <f>+'Financial Model'!J30</f>
        <v/>
      </c>
      <c r="K46" s="678">
        <f>+K48*K49</f>
        <v/>
      </c>
      <c r="L46" s="678">
        <f>+L48*L49</f>
        <v/>
      </c>
      <c r="M46" s="678">
        <f>+M48*M49</f>
        <v/>
      </c>
      <c r="N46" s="678">
        <f>+N48*N49</f>
        <v/>
      </c>
      <c r="O46" s="678">
        <f>+O48*O49</f>
        <v/>
      </c>
      <c r="P46" s="678">
        <f>+P48*P49</f>
        <v/>
      </c>
      <c r="Q46" s="678">
        <f>+Q48*Q49</f>
        <v/>
      </c>
      <c r="R46" s="678">
        <f>+R48*R49</f>
        <v/>
      </c>
      <c r="S46" s="678">
        <f>+S48*S49</f>
        <v/>
      </c>
      <c r="T46" s="678">
        <f>+T48*T49</f>
        <v/>
      </c>
    </row>
    <row r="47" outlineLevel="1" ht="5.2" customFormat="1" customHeight="1" s="8">
      <c r="A47" s="7" t="n"/>
      <c r="C47" s="245" t="n"/>
      <c r="D47" s="94" t="n"/>
      <c r="E47" s="94" t="n"/>
      <c r="F47" s="94" t="n"/>
      <c r="G47" s="246" t="n"/>
      <c r="H47" s="247" t="n"/>
      <c r="I47" s="247" t="n"/>
      <c r="J47" s="247" t="n"/>
      <c r="K47" s="247" t="n"/>
      <c r="L47" s="247" t="n"/>
      <c r="M47" s="247" t="n"/>
      <c r="N47" s="247" t="n"/>
      <c r="O47" s="247" t="n"/>
      <c r="P47" s="247" t="n"/>
      <c r="Q47" s="247" t="n"/>
      <c r="R47" s="247" t="n"/>
      <c r="S47" s="247" t="n"/>
      <c r="T47" s="247" t="n"/>
    </row>
    <row r="48" outlineLevel="1" ht="14.25" customFormat="1" customHeight="1" s="8">
      <c r="A48" s="7" t="n"/>
      <c r="C48" s="257" t="inlineStr">
        <is>
          <t>Total Revenue</t>
        </is>
      </c>
      <c r="D48" s="94" t="n"/>
      <c r="E48" s="94" t="n"/>
      <c r="F48" s="94" t="n"/>
      <c r="G48" s="675">
        <f>+'Financial Model'!G$9</f>
        <v/>
      </c>
      <c r="H48" s="675">
        <f>+'Financial Model'!H$9</f>
        <v/>
      </c>
      <c r="I48" s="675">
        <f>+'Financial Model'!I$9</f>
        <v/>
      </c>
      <c r="J48" s="675">
        <f>+'Financial Model'!J$9</f>
        <v/>
      </c>
      <c r="K48" s="675">
        <f>+'Financial Model'!K$9</f>
        <v/>
      </c>
      <c r="L48" s="675">
        <f>+'Financial Model'!L$9</f>
        <v/>
      </c>
      <c r="M48" s="675">
        <f>+'Financial Model'!M$9</f>
        <v/>
      </c>
      <c r="N48" s="675">
        <f>+'Financial Model'!N$9</f>
        <v/>
      </c>
      <c r="O48" s="675">
        <f>+'Financial Model'!O$9</f>
        <v/>
      </c>
      <c r="P48" s="675">
        <f>+'Financial Model'!P$9</f>
        <v/>
      </c>
      <c r="Q48" s="675">
        <f>+'Financial Model'!Q$9</f>
        <v/>
      </c>
      <c r="R48" s="675">
        <f>+'Financial Model'!R$9</f>
        <v/>
      </c>
      <c r="S48" s="675">
        <f>+'Financial Model'!S$9</f>
        <v/>
      </c>
      <c r="T48" s="675">
        <f>+'Financial Model'!T$9</f>
        <v/>
      </c>
    </row>
    <row r="49" outlineLevel="1" ht="14.25" customFormat="1" customHeight="1" s="8">
      <c r="A49" s="7" t="n"/>
      <c r="C49" s="257" t="inlineStr">
        <is>
          <t>% of Total Revenue</t>
        </is>
      </c>
      <c r="D49" s="94" t="n"/>
      <c r="E49" s="94" t="n"/>
      <c r="F49" s="94" t="n"/>
      <c r="G49" s="135">
        <f>+G46/G48</f>
        <v/>
      </c>
      <c r="H49" s="135">
        <f>+H46/H48</f>
        <v/>
      </c>
      <c r="I49" s="135">
        <f>+I46/I48</f>
        <v/>
      </c>
      <c r="J49" s="135">
        <f>+J46/J48</f>
        <v/>
      </c>
      <c r="K49" s="731">
        <f>($J$46/'Financial Model'!$I$59)*'Financial Model'!J59/K48</f>
        <v/>
      </c>
      <c r="L49" s="731">
        <f>($J$46/'Financial Model'!$I$59)*'Financial Model'!K59/L48</f>
        <v/>
      </c>
      <c r="M49" s="731">
        <f>($J$46/'Financial Model'!$I$59)*'Financial Model'!L59/M48</f>
        <v/>
      </c>
      <c r="N49" s="731">
        <f>($J$46/'Financial Model'!$I$59)*'Financial Model'!M59/N48</f>
        <v/>
      </c>
      <c r="O49" s="731">
        <f>($J$46/'Financial Model'!$I$59)*'Financial Model'!N59/O48</f>
        <v/>
      </c>
      <c r="P49" s="731">
        <f>($J$46/'Financial Model'!$I$59)*'Financial Model'!O59/P48</f>
        <v/>
      </c>
      <c r="Q49" s="731">
        <f>($J$46/'Financial Model'!$I$59)*'Financial Model'!P59/Q48</f>
        <v/>
      </c>
      <c r="R49" s="731">
        <f>($J$46/'Financial Model'!$I$59)*'Financial Model'!Q59/R48</f>
        <v/>
      </c>
      <c r="S49" s="731">
        <f>($J$46/'Financial Model'!$I$59)*'Financial Model'!R59/S48</f>
        <v/>
      </c>
      <c r="T49" s="731">
        <f>($J$46/'Financial Model'!$I$59)*'Financial Model'!S59/T48</f>
        <v/>
      </c>
      <c r="V49" s="360" t="inlineStr">
        <is>
          <t>D&amp;A at FY26 rate on opening net PP&amp;E (yards do not shrink with units). Rises from 5.1% to 5.8% of revenue by FY30E, absorbed inside the flat operating margin.</t>
        </is>
      </c>
    </row>
    <row r="50" outlineLevel="1" ht="14.25" customFormat="1" customHeight="1" s="8">
      <c r="A50" s="7" t="n"/>
      <c r="C50" s="245" t="n"/>
      <c r="D50" s="94" t="n"/>
      <c r="E50" s="94" t="n"/>
      <c r="F50" s="94" t="n"/>
      <c r="G50" s="246" t="n"/>
      <c r="H50" s="247" t="n"/>
      <c r="I50" s="247" t="n"/>
      <c r="J50" s="247" t="n"/>
      <c r="K50" s="247" t="n"/>
      <c r="L50" s="247" t="n"/>
      <c r="M50" s="247" t="n"/>
      <c r="N50" s="247" t="n"/>
      <c r="O50" s="247" t="n"/>
      <c r="P50" s="247" t="n"/>
      <c r="Q50" s="247" t="n"/>
      <c r="R50" s="247" t="n"/>
      <c r="S50" s="247" t="n"/>
      <c r="T50" s="247" t="n"/>
    </row>
    <row r="51" outlineLevel="1" ht="14.25" customFormat="1" customHeight="1" s="8">
      <c r="A51" s="7" t="n"/>
      <c r="C51" s="371" t="inlineStr">
        <is>
          <t>Amortization</t>
        </is>
      </c>
      <c r="D51" s="244" t="n"/>
      <c r="E51" s="244" t="n"/>
      <c r="F51" s="244" t="n"/>
      <c r="G51" s="725">
        <f>+'Financial Model'!G31</f>
        <v/>
      </c>
      <c r="H51" s="725">
        <f>+'Financial Model'!H31</f>
        <v/>
      </c>
      <c r="I51" s="725">
        <f>+'Financial Model'!I31</f>
        <v/>
      </c>
      <c r="J51" s="725">
        <f>+'Financial Model'!J31</f>
        <v/>
      </c>
      <c r="K51" s="678">
        <f>+K53*K54</f>
        <v/>
      </c>
      <c r="L51" s="678">
        <f>+L53*L54</f>
        <v/>
      </c>
      <c r="M51" s="678">
        <f>+M53*M54</f>
        <v/>
      </c>
      <c r="N51" s="678">
        <f>+N53*N54</f>
        <v/>
      </c>
      <c r="O51" s="678">
        <f>+O53*O54</f>
        <v/>
      </c>
      <c r="P51" s="678">
        <f>+P53*P54</f>
        <v/>
      </c>
      <c r="Q51" s="678">
        <f>+Q53*Q54</f>
        <v/>
      </c>
      <c r="R51" s="678">
        <f>+R53*R54</f>
        <v/>
      </c>
      <c r="S51" s="678">
        <f>+S53*S54</f>
        <v/>
      </c>
      <c r="T51" s="678">
        <f>+T53*T54</f>
        <v/>
      </c>
    </row>
    <row r="52" outlineLevel="1" ht="5.2" customFormat="1" customHeight="1" s="8">
      <c r="A52" s="7" t="n"/>
      <c r="C52" s="245" t="n"/>
      <c r="D52" s="94" t="n"/>
      <c r="E52" s="94" t="n"/>
      <c r="F52" s="94" t="n"/>
      <c r="G52" s="246" t="n"/>
      <c r="H52" s="247" t="n"/>
      <c r="I52" s="247" t="n"/>
      <c r="J52" s="247" t="n"/>
      <c r="K52" s="247" t="n"/>
      <c r="L52" s="247" t="n"/>
      <c r="M52" s="247" t="n"/>
      <c r="N52" s="247" t="n"/>
      <c r="O52" s="247" t="n"/>
      <c r="P52" s="247" t="n"/>
      <c r="Q52" s="247" t="n"/>
      <c r="R52" s="247" t="n"/>
      <c r="S52" s="247" t="n"/>
      <c r="T52" s="247" t="n"/>
    </row>
    <row r="53" outlineLevel="1" ht="14.25" customFormat="1" customHeight="1" s="8">
      <c r="A53" s="7" t="n"/>
      <c r="C53" s="257" t="inlineStr">
        <is>
          <t>Total Revenue</t>
        </is>
      </c>
      <c r="D53" s="94" t="n"/>
      <c r="E53" s="94" t="n"/>
      <c r="F53" s="94" t="n"/>
      <c r="G53" s="675">
        <f>+'Financial Model'!G$9</f>
        <v/>
      </c>
      <c r="H53" s="675">
        <f>+'Financial Model'!H$9</f>
        <v/>
      </c>
      <c r="I53" s="675">
        <f>+'Financial Model'!I$9</f>
        <v/>
      </c>
      <c r="J53" s="675">
        <f>+'Financial Model'!J$9</f>
        <v/>
      </c>
      <c r="K53" s="675">
        <f>+'Financial Model'!K$9</f>
        <v/>
      </c>
      <c r="L53" s="675">
        <f>+'Financial Model'!L$9</f>
        <v/>
      </c>
      <c r="M53" s="675">
        <f>+'Financial Model'!M$9</f>
        <v/>
      </c>
      <c r="N53" s="675">
        <f>+'Financial Model'!N$9</f>
        <v/>
      </c>
      <c r="O53" s="675">
        <f>+'Financial Model'!O$9</f>
        <v/>
      </c>
      <c r="P53" s="675">
        <f>+'Financial Model'!P$9</f>
        <v/>
      </c>
      <c r="Q53" s="675">
        <f>+'Financial Model'!Q$9</f>
        <v/>
      </c>
      <c r="R53" s="675">
        <f>+'Financial Model'!R$9</f>
        <v/>
      </c>
      <c r="S53" s="675">
        <f>+'Financial Model'!S$9</f>
        <v/>
      </c>
      <c r="T53" s="675">
        <f>+'Financial Model'!T$9</f>
        <v/>
      </c>
    </row>
    <row r="54" outlineLevel="1" ht="14.25" customFormat="1" customHeight="1" s="8">
      <c r="A54" s="7" t="n"/>
      <c r="C54" s="257" t="inlineStr">
        <is>
          <t>% of Total Revenue</t>
        </is>
      </c>
      <c r="D54" s="94" t="n"/>
      <c r="E54" s="94" t="n"/>
      <c r="F54" s="94" t="n"/>
      <c r="G54" s="135">
        <f>+G51/G53</f>
        <v/>
      </c>
      <c r="H54" s="135">
        <f>+H51/H53</f>
        <v/>
      </c>
      <c r="I54" s="135">
        <f>+I51/I53</f>
        <v/>
      </c>
      <c r="J54" s="135">
        <f>+J51/J53</f>
        <v/>
      </c>
      <c r="K54" s="373" t="n">
        <v>0</v>
      </c>
      <c r="L54" s="373" t="n">
        <v>0</v>
      </c>
      <c r="M54" s="373" t="n">
        <v>0</v>
      </c>
      <c r="N54" s="373" t="n">
        <v>0</v>
      </c>
      <c r="O54" s="373" t="n">
        <v>0</v>
      </c>
      <c r="P54" s="373" t="n">
        <v>0</v>
      </c>
      <c r="Q54" s="373" t="n">
        <v>0</v>
      </c>
      <c r="R54" s="373" t="n">
        <v>0</v>
      </c>
      <c r="S54" s="373" t="n">
        <v>0</v>
      </c>
      <c r="T54" s="373" t="n">
        <v>0</v>
      </c>
    </row>
    <row r="55" outlineLevel="1" ht="14.25" customFormat="1" customHeight="1" s="8" thickBot="1">
      <c r="A55" s="7" t="n"/>
      <c r="C55" s="249" t="n"/>
      <c r="D55" s="250" t="n"/>
      <c r="E55" s="250" t="n"/>
      <c r="F55" s="250" t="n"/>
      <c r="G55" s="251" t="n"/>
      <c r="H55" s="252" t="n"/>
      <c r="I55" s="252" t="n"/>
      <c r="J55" s="252" t="n"/>
      <c r="K55" s="252" t="n"/>
      <c r="L55" s="252" t="n"/>
      <c r="M55" s="252" t="n"/>
      <c r="N55" s="252" t="n"/>
      <c r="O55" s="252" t="n"/>
      <c r="P55" s="252" t="n"/>
      <c r="Q55" s="252" t="n"/>
      <c r="R55" s="252" t="n"/>
      <c r="S55" s="252" t="n"/>
      <c r="T55" s="252" t="n"/>
    </row>
    <row r="56" outlineLevel="1" ht="14.25" customFormat="1" customHeight="1" s="8">
      <c r="A56" s="7" t="n"/>
      <c r="C56" s="245" t="n"/>
      <c r="D56" s="94" t="n"/>
      <c r="E56" s="94" t="n"/>
      <c r="F56" s="94" t="n"/>
      <c r="G56" s="246" t="n"/>
      <c r="H56" s="247" t="n"/>
      <c r="I56" s="247" t="n"/>
      <c r="J56" s="247" t="n"/>
      <c r="K56" s="247" t="n"/>
      <c r="L56" s="247" t="n"/>
      <c r="M56" s="247" t="n"/>
      <c r="N56" s="247" t="n"/>
      <c r="O56" s="247" t="n"/>
      <c r="P56" s="247" t="n"/>
      <c r="Q56" s="247" t="n"/>
      <c r="R56" s="247" t="n"/>
      <c r="S56" s="247" t="n"/>
      <c r="T56" s="247" t="n"/>
    </row>
    <row r="57" outlineLevel="1" ht="14.25" customFormat="1" customHeight="1" s="8">
      <c r="A57" s="7" t="n"/>
      <c r="C57" s="253" t="inlineStr">
        <is>
          <t>Revolver Interest</t>
        </is>
      </c>
      <c r="D57" s="244" t="n"/>
      <c r="E57" s="244" t="n"/>
      <c r="F57" s="244" t="n"/>
      <c r="G57" s="732" t="n"/>
      <c r="H57" s="732" t="n"/>
      <c r="I57" s="732" t="n"/>
      <c r="J57" s="732" t="n"/>
      <c r="K57" s="733">
        <f>+K59*K60</f>
        <v/>
      </c>
      <c r="L57" s="733">
        <f>+L59*L60</f>
        <v/>
      </c>
      <c r="M57" s="733">
        <f>+M59*M60</f>
        <v/>
      </c>
      <c r="N57" s="733">
        <f>+N59*N60</f>
        <v/>
      </c>
      <c r="O57" s="733">
        <f>+O59*O60</f>
        <v/>
      </c>
      <c r="P57" s="733">
        <f>+P59*P60</f>
        <v/>
      </c>
      <c r="Q57" s="733">
        <f>+Q59*Q60</f>
        <v/>
      </c>
      <c r="R57" s="733">
        <f>+R59*R60</f>
        <v/>
      </c>
      <c r="S57" s="733">
        <f>+S59*S60</f>
        <v/>
      </c>
      <c r="T57" s="733">
        <f>+T59*T60</f>
        <v/>
      </c>
    </row>
    <row r="58" outlineLevel="1" ht="5.2" customFormat="1" customHeight="1" s="8">
      <c r="A58" s="7" t="n"/>
      <c r="C58" s="245" t="n"/>
      <c r="D58" s="94" t="n"/>
      <c r="E58" s="94" t="n"/>
      <c r="F58" s="94" t="n"/>
      <c r="G58" s="246" t="n"/>
      <c r="H58" s="247" t="n"/>
      <c r="I58" s="247" t="n"/>
      <c r="J58" s="247" t="n"/>
      <c r="K58" s="247" t="n"/>
      <c r="L58" s="247" t="n"/>
      <c r="M58" s="247" t="n"/>
      <c r="N58" s="247" t="n"/>
      <c r="O58" s="247" t="n"/>
      <c r="P58" s="247" t="n"/>
      <c r="Q58" s="247" t="n"/>
      <c r="R58" s="247" t="n"/>
      <c r="S58" s="247" t="n"/>
      <c r="T58" s="247" t="n"/>
    </row>
    <row r="59" outlineLevel="1" ht="14.25" customFormat="1" customHeight="1" s="8">
      <c r="A59" s="7" t="n"/>
      <c r="C59" s="257" t="inlineStr">
        <is>
          <t>Average Outstanding Balance</t>
        </is>
      </c>
      <c r="D59" s="94" t="n"/>
      <c r="E59" s="94" t="n"/>
      <c r="F59" s="94" t="n"/>
      <c r="G59" s="256" t="n"/>
      <c r="H59" s="256" t="n"/>
      <c r="I59" s="256" t="n"/>
      <c r="J59" s="256" t="n"/>
      <c r="K59" s="682">
        <f>AVERAGE(K135,J135)</f>
        <v/>
      </c>
      <c r="L59" s="682">
        <f>AVERAGE(K135:L135)</f>
        <v/>
      </c>
      <c r="M59" s="682">
        <f>AVERAGE(L135:M135)</f>
        <v/>
      </c>
      <c r="N59" s="682">
        <f>AVERAGE(M135:N135)</f>
        <v/>
      </c>
      <c r="O59" s="682">
        <f>AVERAGE(N135:O135)</f>
        <v/>
      </c>
      <c r="P59" s="682">
        <f>AVERAGE(O135:P135)</f>
        <v/>
      </c>
      <c r="Q59" s="682">
        <f>AVERAGE(P135:Q135)</f>
        <v/>
      </c>
      <c r="R59" s="682">
        <f>AVERAGE(Q135:R135)</f>
        <v/>
      </c>
      <c r="S59" s="682">
        <f>AVERAGE(R135:S135)</f>
        <v/>
      </c>
      <c r="T59" s="682">
        <f>AVERAGE(S135:T135)</f>
        <v/>
      </c>
      <c r="V59" s="215" t="inlineStr">
        <is>
          <t>- This is subject to changed based on debt balance below</t>
        </is>
      </c>
    </row>
    <row r="60" outlineLevel="1" ht="14.25" customFormat="1" customHeight="1" s="8">
      <c r="A60" s="7" t="n"/>
      <c r="C60" s="257" t="inlineStr">
        <is>
          <t>Interest Rate</t>
        </is>
      </c>
      <c r="D60" s="94" t="n"/>
      <c r="E60" s="94" t="n"/>
      <c r="F60" s="94" t="n"/>
      <c r="G60" s="256" t="n"/>
      <c r="H60" s="256" t="n"/>
      <c r="I60" s="256" t="n"/>
      <c r="J60" s="256" t="n"/>
      <c r="K60" s="373" t="n">
        <v>0</v>
      </c>
      <c r="L60" s="373" t="n">
        <v>0</v>
      </c>
      <c r="M60" s="373" t="n">
        <v>0</v>
      </c>
      <c r="N60" s="373" t="n">
        <v>0</v>
      </c>
      <c r="O60" s="373" t="n">
        <v>0</v>
      </c>
      <c r="P60" s="373" t="n">
        <v>0</v>
      </c>
      <c r="Q60" s="373" t="n">
        <v>0</v>
      </c>
      <c r="R60" s="373" t="n">
        <v>0</v>
      </c>
      <c r="S60" s="373" t="n">
        <v>0</v>
      </c>
      <c r="T60" s="373" t="n">
        <v>0</v>
      </c>
    </row>
    <row r="61" outlineLevel="1" ht="14.25" customFormat="1" customHeight="1" s="8">
      <c r="A61" s="7" t="n"/>
      <c r="C61" s="245" t="n"/>
      <c r="D61" s="94" t="n"/>
      <c r="E61" s="94" t="n"/>
      <c r="F61" s="94" t="n"/>
      <c r="G61" s="246" t="n"/>
      <c r="H61" s="247" t="n"/>
      <c r="I61" s="247" t="n"/>
      <c r="J61" s="247" t="n"/>
      <c r="K61" s="247" t="n"/>
      <c r="L61" s="247" t="n"/>
      <c r="M61" s="247" t="n"/>
      <c r="N61" s="247" t="n"/>
      <c r="O61" s="247" t="n"/>
      <c r="P61" s="247" t="n"/>
      <c r="Q61" s="247" t="n"/>
      <c r="R61" s="247" t="n"/>
      <c r="S61" s="247" t="n"/>
      <c r="T61" s="247" t="n"/>
    </row>
    <row r="62" outlineLevel="1" ht="14.25" customFormat="1" customHeight="1" s="8">
      <c r="A62" s="7" t="n"/>
      <c r="C62" s="253" t="inlineStr">
        <is>
          <t>Term Loan Interest</t>
        </is>
      </c>
      <c r="D62" s="244" t="n"/>
      <c r="E62" s="244" t="n"/>
      <c r="F62" s="244" t="n"/>
      <c r="G62" s="732" t="n"/>
      <c r="H62" s="732" t="n"/>
      <c r="I62" s="732" t="n"/>
      <c r="J62" s="732" t="n"/>
      <c r="K62" s="733">
        <f>+K64*K65</f>
        <v/>
      </c>
      <c r="L62" s="733">
        <f>+L64*L65</f>
        <v/>
      </c>
      <c r="M62" s="733">
        <f>+M64*M65</f>
        <v/>
      </c>
      <c r="N62" s="733">
        <f>+N64*N65</f>
        <v/>
      </c>
      <c r="O62" s="733">
        <f>+O64*O65</f>
        <v/>
      </c>
      <c r="P62" s="733">
        <f>+P64*P65</f>
        <v/>
      </c>
      <c r="Q62" s="733">
        <f>+Q64*Q65</f>
        <v/>
      </c>
      <c r="R62" s="733">
        <f>+R64*R65</f>
        <v/>
      </c>
      <c r="S62" s="733">
        <f>+S64*S65</f>
        <v/>
      </c>
      <c r="T62" s="733">
        <f>+T64*T65</f>
        <v/>
      </c>
    </row>
    <row r="63" outlineLevel="1" ht="5.2" customFormat="1" customHeight="1" s="8">
      <c r="A63" s="7" t="n"/>
      <c r="C63" s="257" t="n"/>
      <c r="D63" s="94" t="n"/>
      <c r="E63" s="94" t="n"/>
      <c r="F63" s="94" t="n"/>
      <c r="G63" s="246" t="n"/>
      <c r="H63" s="247" t="n"/>
      <c r="I63" s="247" t="n"/>
      <c r="J63" s="247" t="n"/>
      <c r="K63" s="247" t="n"/>
      <c r="L63" s="247" t="n"/>
      <c r="M63" s="247" t="n"/>
      <c r="N63" s="247" t="n"/>
      <c r="O63" s="247" t="n"/>
      <c r="P63" s="247" t="n"/>
      <c r="Q63" s="247" t="n"/>
      <c r="R63" s="247" t="n"/>
      <c r="S63" s="247" t="n"/>
      <c r="T63" s="247" t="n"/>
    </row>
    <row r="64" outlineLevel="1" ht="14.25" customFormat="1" customHeight="1" s="8">
      <c r="A64" s="7" t="n"/>
      <c r="C64" s="257" t="inlineStr">
        <is>
          <t>Average Outstanding Balance</t>
        </is>
      </c>
      <c r="D64" s="94" t="n"/>
      <c r="E64" s="94" t="n"/>
      <c r="F64" s="94" t="n"/>
      <c r="G64" s="256" t="n"/>
      <c r="H64" s="256" t="n"/>
      <c r="I64" s="256" t="n"/>
      <c r="J64" s="256" t="n"/>
      <c r="K64" s="682">
        <f>AVERAGE(K140,J140)</f>
        <v/>
      </c>
      <c r="L64" s="682">
        <f>AVERAGE(K140:L140)</f>
        <v/>
      </c>
      <c r="M64" s="682">
        <f>AVERAGE(L140:M140)</f>
        <v/>
      </c>
      <c r="N64" s="682">
        <f>AVERAGE(M140:N140)</f>
        <v/>
      </c>
      <c r="O64" s="682">
        <f>AVERAGE(N140:O140)</f>
        <v/>
      </c>
      <c r="P64" s="682">
        <f>AVERAGE(O140:P140)</f>
        <v/>
      </c>
      <c r="Q64" s="682">
        <f>AVERAGE(P140:Q140)</f>
        <v/>
      </c>
      <c r="R64" s="682">
        <f>AVERAGE(Q140:R140)</f>
        <v/>
      </c>
      <c r="S64" s="682">
        <f>AVERAGE(R140:S140)</f>
        <v/>
      </c>
      <c r="T64" s="682">
        <f>AVERAGE(S140:T140)</f>
        <v/>
      </c>
      <c r="V64" s="215" t="inlineStr">
        <is>
          <t>- This is subject to changed based on debt balance below</t>
        </is>
      </c>
    </row>
    <row r="65" outlineLevel="1" ht="14.25" customFormat="1" customHeight="1" s="8">
      <c r="A65" s="7" t="n"/>
      <c r="C65" s="257" t="inlineStr">
        <is>
          <t>Interest Rate</t>
        </is>
      </c>
      <c r="D65" s="94" t="n"/>
      <c r="E65" s="94" t="n"/>
      <c r="F65" s="94" t="n"/>
      <c r="G65" s="256" t="n"/>
      <c r="H65" s="256" t="n"/>
      <c r="I65" s="256" t="n"/>
      <c r="J65" s="256" t="n"/>
      <c r="K65" s="373" t="n">
        <v>0</v>
      </c>
      <c r="L65" s="373" t="n">
        <v>0</v>
      </c>
      <c r="M65" s="373" t="n">
        <v>0</v>
      </c>
      <c r="N65" s="373" t="n">
        <v>0</v>
      </c>
      <c r="O65" s="373" t="n">
        <v>0</v>
      </c>
      <c r="P65" s="373" t="n">
        <v>0</v>
      </c>
      <c r="Q65" s="373" t="n">
        <v>0</v>
      </c>
      <c r="R65" s="373" t="n">
        <v>0</v>
      </c>
      <c r="S65" s="373" t="n">
        <v>0</v>
      </c>
      <c r="T65" s="373" t="n">
        <v>0</v>
      </c>
    </row>
    <row r="66" outlineLevel="1" ht="14.25" customFormat="1" customHeight="1" s="8">
      <c r="A66" s="7" t="n"/>
      <c r="C66" s="245" t="n"/>
      <c r="D66" s="94" t="n"/>
      <c r="E66" s="94" t="n"/>
      <c r="F66" s="94" t="n"/>
      <c r="G66" s="246" t="n"/>
      <c r="H66" s="247" t="n"/>
      <c r="I66" s="247" t="n"/>
      <c r="J66" s="247" t="n"/>
      <c r="K66" s="247" t="n"/>
      <c r="L66" s="247" t="n"/>
      <c r="M66" s="247" t="n"/>
      <c r="N66" s="247" t="n"/>
      <c r="O66" s="247" t="n"/>
      <c r="P66" s="247" t="n"/>
      <c r="Q66" s="247" t="n"/>
      <c r="R66" s="247" t="n"/>
      <c r="S66" s="247" t="n"/>
      <c r="T66" s="247" t="n"/>
    </row>
    <row r="67" outlineLevel="1" ht="14.25" customFormat="1" customHeight="1" s="8">
      <c r="A67" s="7" t="n"/>
      <c r="C67" s="371">
        <f>+'Financial Model'!C35</f>
        <v/>
      </c>
      <c r="D67" s="244" t="n"/>
      <c r="E67" s="244" t="n"/>
      <c r="F67" s="244" t="n"/>
      <c r="G67" s="725">
        <f>+'Financial Model'!G35</f>
        <v/>
      </c>
      <c r="H67" s="725">
        <f>+'Financial Model'!H35</f>
        <v/>
      </c>
      <c r="I67" s="725">
        <f>+'Financial Model'!I35</f>
        <v/>
      </c>
      <c r="J67" s="725">
        <f>+'Financial Model'!J35</f>
        <v/>
      </c>
      <c r="K67" s="678">
        <f>+K69*K70</f>
        <v/>
      </c>
      <c r="L67" s="678">
        <f>+L69*L70</f>
        <v/>
      </c>
      <c r="M67" s="678">
        <f>+M69*M70</f>
        <v/>
      </c>
      <c r="N67" s="678">
        <f>+N69*N70</f>
        <v/>
      </c>
      <c r="O67" s="678">
        <f>+O69*O70</f>
        <v/>
      </c>
      <c r="P67" s="678">
        <f>+P69*P70</f>
        <v/>
      </c>
      <c r="Q67" s="678">
        <f>+Q69*Q70</f>
        <v/>
      </c>
      <c r="R67" s="678">
        <f>+R69*R70</f>
        <v/>
      </c>
      <c r="S67" s="678">
        <f>+S69*S70</f>
        <v/>
      </c>
      <c r="T67" s="678">
        <f>+T69*T70</f>
        <v/>
      </c>
    </row>
    <row r="68" outlineLevel="1" ht="5.2" customFormat="1" customHeight="1" s="8">
      <c r="A68" s="7" t="n"/>
      <c r="C68" s="245" t="n"/>
      <c r="D68" s="94" t="n"/>
      <c r="E68" s="94" t="n"/>
      <c r="F68" s="94" t="n"/>
      <c r="G68" s="246" t="n"/>
      <c r="H68" s="247" t="n"/>
      <c r="I68" s="247" t="n"/>
      <c r="J68" s="247" t="n"/>
      <c r="K68" s="247" t="n"/>
      <c r="L68" s="247" t="n"/>
      <c r="M68" s="247" t="n"/>
      <c r="N68" s="247" t="n"/>
      <c r="O68" s="247" t="n"/>
      <c r="P68" s="247" t="n"/>
      <c r="Q68" s="247" t="n"/>
      <c r="R68" s="247" t="n"/>
      <c r="S68" s="247" t="n"/>
      <c r="T68" s="247" t="n"/>
    </row>
    <row r="69" outlineLevel="1" ht="14.25" customFormat="1" customHeight="1" s="8">
      <c r="A69" s="7" t="n"/>
      <c r="C69" s="257" t="inlineStr">
        <is>
          <t>Total Revenue</t>
        </is>
      </c>
      <c r="D69" s="94" t="n"/>
      <c r="E69" s="94" t="n"/>
      <c r="F69" s="94" t="n"/>
      <c r="G69" s="675">
        <f>+'Financial Model'!G$9</f>
        <v/>
      </c>
      <c r="H69" s="675">
        <f>+'Financial Model'!H$9</f>
        <v/>
      </c>
      <c r="I69" s="675">
        <f>+'Financial Model'!I$9</f>
        <v/>
      </c>
      <c r="J69" s="675">
        <f>+'Financial Model'!J$9</f>
        <v/>
      </c>
      <c r="K69" s="675">
        <f>+'Financial Model'!K$9</f>
        <v/>
      </c>
      <c r="L69" s="675">
        <f>+'Financial Model'!L$9</f>
        <v/>
      </c>
      <c r="M69" s="675">
        <f>+'Financial Model'!M$9</f>
        <v/>
      </c>
      <c r="N69" s="675">
        <f>+'Financial Model'!N$9</f>
        <v/>
      </c>
      <c r="O69" s="675">
        <f>+'Financial Model'!O$9</f>
        <v/>
      </c>
      <c r="P69" s="675">
        <f>+'Financial Model'!P$9</f>
        <v/>
      </c>
      <c r="Q69" s="675">
        <f>+'Financial Model'!Q$9</f>
        <v/>
      </c>
      <c r="R69" s="675">
        <f>+'Financial Model'!R$9</f>
        <v/>
      </c>
      <c r="S69" s="675">
        <f>+'Financial Model'!S$9</f>
        <v/>
      </c>
      <c r="T69" s="675">
        <f>+'Financial Model'!T$9</f>
        <v/>
      </c>
    </row>
    <row r="70" outlineLevel="1" ht="14.25" customFormat="1" customHeight="1" s="8">
      <c r="A70" s="7" t="n"/>
      <c r="C70" s="257" t="inlineStr">
        <is>
          <t>% of Total Revenue</t>
        </is>
      </c>
      <c r="D70" s="94" t="n"/>
      <c r="E70" s="94" t="n"/>
      <c r="F70" s="94" t="n"/>
      <c r="G70" s="135">
        <f>+G67/G69</f>
        <v/>
      </c>
      <c r="H70" s="135">
        <f>+H67/H69</f>
        <v/>
      </c>
      <c r="I70" s="135">
        <f>+I67/I69</f>
        <v/>
      </c>
      <c r="J70" s="135">
        <f>+J67/J69</f>
        <v/>
      </c>
      <c r="K70" s="731">
        <f>-K207/K69</f>
        <v/>
      </c>
      <c r="L70" s="731">
        <f>-L207/L69</f>
        <v/>
      </c>
      <c r="M70" s="731">
        <f>-M207/M69</f>
        <v/>
      </c>
      <c r="N70" s="731">
        <f>-N207/N69</f>
        <v/>
      </c>
      <c r="O70" s="731">
        <f>-O207/O69</f>
        <v/>
      </c>
      <c r="P70" s="731">
        <f>-P207/P69</f>
        <v/>
      </c>
      <c r="Q70" s="731">
        <f>-Q207/Q69</f>
        <v/>
      </c>
      <c r="R70" s="731">
        <f>-R207/R69</f>
        <v/>
      </c>
      <c r="S70" s="731">
        <f>-S207/S69</f>
        <v/>
      </c>
      <c r="T70" s="731">
        <f>-T207/T69</f>
        <v/>
      </c>
      <c r="V70" t="inlineStr">
        <is>
          <t>Other income per row 207 (memo $110M FY27E; then FY26 yield x opening cash).</t>
        </is>
      </c>
    </row>
    <row r="71" outlineLevel="1" ht="14.25" customFormat="1" customHeight="1" s="8">
      <c r="A71" s="7" t="n"/>
      <c r="C71" s="245" t="n"/>
      <c r="D71" s="94" t="n"/>
      <c r="E71" s="94" t="n"/>
      <c r="F71" s="94" t="n"/>
      <c r="G71" s="246" t="n"/>
      <c r="H71" s="247" t="n"/>
      <c r="I71" s="247" t="n"/>
      <c r="J71" s="247" t="n"/>
      <c r="K71" s="247" t="n"/>
      <c r="L71" s="247" t="n"/>
      <c r="M71" s="247" t="n"/>
      <c r="N71" s="247" t="n"/>
      <c r="O71" s="247" t="n"/>
      <c r="P71" s="247" t="n"/>
      <c r="Q71" s="247" t="n"/>
      <c r="R71" s="247" t="n"/>
      <c r="S71" s="247" t="n"/>
      <c r="T71" s="247" t="n"/>
    </row>
    <row r="72" outlineLevel="1" ht="14.25" customFormat="1" customHeight="1" s="8">
      <c r="A72" s="7" t="n"/>
      <c r="C72" s="371">
        <f>+'Financial Model'!C38</f>
        <v/>
      </c>
      <c r="D72" s="244" t="n"/>
      <c r="E72" s="244" t="n"/>
      <c r="F72" s="244" t="n"/>
      <c r="G72" s="725">
        <f>+'Financial Model'!G38</f>
        <v/>
      </c>
      <c r="H72" s="725">
        <f>+'Financial Model'!H38</f>
        <v/>
      </c>
      <c r="I72" s="725">
        <f>+'Financial Model'!I38</f>
        <v/>
      </c>
      <c r="J72" s="725">
        <f>+'Financial Model'!J38</f>
        <v/>
      </c>
      <c r="K72" s="678">
        <f>+K74*K75</f>
        <v/>
      </c>
      <c r="L72" s="678">
        <f>+L74*L75</f>
        <v/>
      </c>
      <c r="M72" s="678">
        <f>+M74*M75</f>
        <v/>
      </c>
      <c r="N72" s="678">
        <f>+N74*N75</f>
        <v/>
      </c>
      <c r="O72" s="678">
        <f>+O74*O75</f>
        <v/>
      </c>
      <c r="P72" s="678">
        <f>+P74*P75</f>
        <v/>
      </c>
      <c r="Q72" s="678">
        <f>+Q74*Q75</f>
        <v/>
      </c>
      <c r="R72" s="678">
        <f>+R74*R75</f>
        <v/>
      </c>
      <c r="S72" s="678">
        <f>+S74*S75</f>
        <v/>
      </c>
      <c r="T72" s="678">
        <f>+T74*T75</f>
        <v/>
      </c>
    </row>
    <row r="73" outlineLevel="1" ht="5.2" customFormat="1" customHeight="1" s="8">
      <c r="A73" s="7" t="n"/>
      <c r="C73" s="245" t="n"/>
      <c r="D73" s="94" t="n"/>
      <c r="E73" s="94" t="n"/>
      <c r="F73" s="94" t="n"/>
      <c r="G73" s="246" t="n"/>
      <c r="H73" s="247" t="n"/>
      <c r="I73" s="247" t="n"/>
      <c r="J73" s="247" t="n"/>
      <c r="K73" s="247" t="n"/>
      <c r="L73" s="247" t="n"/>
      <c r="M73" s="247" t="n"/>
      <c r="N73" s="247" t="n"/>
      <c r="O73" s="247" t="n"/>
      <c r="P73" s="247" t="n"/>
      <c r="Q73" s="247" t="n"/>
      <c r="R73" s="247" t="n"/>
      <c r="S73" s="247" t="n"/>
      <c r="T73" s="247" t="n"/>
    </row>
    <row r="74" outlineLevel="1" ht="14.25" customFormat="1" customHeight="1" s="8">
      <c r="A74" s="7" t="n"/>
      <c r="C74" s="257">
        <f>+'Financial Model'!C36</f>
        <v/>
      </c>
      <c r="D74" s="94" t="n"/>
      <c r="E74" s="94" t="n"/>
      <c r="F74" s="94" t="n"/>
      <c r="G74" s="675">
        <f>+'Financial Model'!G$36</f>
        <v/>
      </c>
      <c r="H74" s="675">
        <f>+'Financial Model'!H$36</f>
        <v/>
      </c>
      <c r="I74" s="675">
        <f>+'Financial Model'!I$36</f>
        <v/>
      </c>
      <c r="J74" s="675">
        <f>+'Financial Model'!J$36</f>
        <v/>
      </c>
      <c r="K74" s="675">
        <f>+'Financial Model'!K$36</f>
        <v/>
      </c>
      <c r="L74" s="675">
        <f>+'Financial Model'!L$36</f>
        <v/>
      </c>
      <c r="M74" s="675">
        <f>+'Financial Model'!M$36</f>
        <v/>
      </c>
      <c r="N74" s="675">
        <f>+'Financial Model'!N$36</f>
        <v/>
      </c>
      <c r="O74" s="675">
        <f>+'Financial Model'!O$36</f>
        <v/>
      </c>
      <c r="P74" s="675">
        <f>+'Financial Model'!P$36</f>
        <v/>
      </c>
      <c r="Q74" s="675">
        <f>+'Financial Model'!Q$36</f>
        <v/>
      </c>
      <c r="R74" s="675">
        <f>+'Financial Model'!R$36</f>
        <v/>
      </c>
      <c r="S74" s="675">
        <f>+'Financial Model'!S$36</f>
        <v/>
      </c>
      <c r="T74" s="675">
        <f>+'Financial Model'!T$36</f>
        <v/>
      </c>
    </row>
    <row r="75" outlineLevel="1" ht="14.25" customFormat="1" customHeight="1" s="8">
      <c r="A75" s="7" t="n"/>
      <c r="C75" s="257" t="inlineStr">
        <is>
          <t>Tax Rate</t>
        </is>
      </c>
      <c r="D75" s="94" t="n"/>
      <c r="E75" s="94" t="n"/>
      <c r="F75" s="94" t="n"/>
      <c r="G75" s="135">
        <f>+G72/G74</f>
        <v/>
      </c>
      <c r="H75" s="135">
        <f>+H72/H74</f>
        <v/>
      </c>
      <c r="I75" s="135">
        <f>+I72/I74</f>
        <v/>
      </c>
      <c r="J75" s="135">
        <f>+J72/J74</f>
        <v/>
      </c>
      <c r="K75" s="731">
        <f>AVERAGE($H$75:$J$75)</f>
        <v/>
      </c>
      <c r="L75" s="731">
        <f>AVERAGE($H$75:$J$75)</f>
        <v/>
      </c>
      <c r="M75" s="731">
        <f>AVERAGE($H$75:$J$75)</f>
        <v/>
      </c>
      <c r="N75" s="731">
        <f>AVERAGE($H$75:$J$75)</f>
        <v/>
      </c>
      <c r="O75" s="731">
        <f>AVERAGE($H$75:$J$75)</f>
        <v/>
      </c>
      <c r="P75" s="731">
        <f>AVERAGE($H$75:$J$75)</f>
        <v/>
      </c>
      <c r="Q75" s="731">
        <f>AVERAGE($H$75:$J$75)</f>
        <v/>
      </c>
      <c r="R75" s="731">
        <f>AVERAGE($H$75:$J$75)</f>
        <v/>
      </c>
      <c r="S75" s="731">
        <f>AVERAGE($H$75:$J$75)</f>
        <v/>
      </c>
      <c r="T75" s="731">
        <f>AVERAGE($H$75:$J$75)</f>
        <v/>
      </c>
      <c r="V75" t="inlineStr">
        <is>
          <t>FY24-FY26 average effective rate.</t>
        </is>
      </c>
    </row>
    <row r="76" outlineLevel="1" ht="14.25" customFormat="1" customHeight="1" s="8" thickBot="1">
      <c r="A76" s="7" t="n"/>
      <c r="C76" s="249" t="n"/>
      <c r="D76" s="250" t="n"/>
      <c r="E76" s="250" t="n"/>
      <c r="F76" s="250" t="n"/>
      <c r="G76" s="251" t="n"/>
      <c r="H76" s="252" t="n"/>
      <c r="I76" s="252" t="n"/>
      <c r="J76" s="252" t="n"/>
      <c r="K76" s="252" t="n"/>
      <c r="L76" s="252" t="n"/>
      <c r="M76" s="252" t="n"/>
      <c r="N76" s="252" t="n"/>
      <c r="O76" s="252" t="n"/>
      <c r="P76" s="252" t="n"/>
      <c r="Q76" s="252" t="n"/>
      <c r="R76" s="252" t="n"/>
      <c r="S76" s="252" t="n"/>
      <c r="T76" s="252" t="n"/>
    </row>
    <row r="77" outlineLevel="1" ht="10.05" customFormat="1" customHeight="1" s="8">
      <c r="A77" s="7" t="n"/>
      <c r="C77" s="245" t="n"/>
      <c r="D77" s="94" t="n"/>
      <c r="E77" s="94" t="n"/>
      <c r="F77" s="94" t="n"/>
      <c r="G77" s="246" t="n"/>
      <c r="H77" s="247" t="n"/>
      <c r="I77" s="247" t="n"/>
      <c r="J77" s="247" t="n"/>
      <c r="K77" s="247" t="n"/>
      <c r="L77" s="247" t="n"/>
      <c r="M77" s="247" t="n"/>
      <c r="N77" s="247" t="n"/>
      <c r="O77" s="247" t="n"/>
      <c r="P77" s="247" t="n"/>
      <c r="Q77" s="247" t="n"/>
      <c r="R77" s="247" t="n"/>
      <c r="S77" s="247" t="n"/>
      <c r="T77" s="247" t="n"/>
    </row>
    <row r="78" ht="17.25" customHeight="1">
      <c r="V78" s="359" t="inlineStr">
        <is>
          <t>Notes</t>
        </is>
      </c>
    </row>
    <row r="79" outlineLevel="1" ht="14.55" customFormat="1" customHeight="1" s="8">
      <c r="A79" s="7" t="n"/>
      <c r="C79" s="210">
        <f>Assumptions!G$5</f>
        <v/>
      </c>
      <c r="D79" s="54" t="n"/>
      <c r="E79" s="54" t="n"/>
      <c r="F79" s="54" t="n"/>
      <c r="G79" s="54" t="n"/>
      <c r="H79" s="54" t="n"/>
      <c r="I79" s="54" t="n"/>
      <c r="J79" s="55" t="n"/>
      <c r="K79" s="54" t="n"/>
      <c r="L79" s="54" t="n"/>
      <c r="M79" s="54" t="n"/>
      <c r="N79" s="54" t="n"/>
      <c r="O79" s="54" t="n"/>
      <c r="P79" s="54" t="n"/>
      <c r="Q79" s="54" t="n"/>
      <c r="R79" s="54" t="n"/>
      <c r="S79" s="54" t="n"/>
      <c r="T79" s="55" t="n"/>
    </row>
    <row r="80" outlineLevel="1" ht="14.55" customFormat="1" customHeight="1" s="8">
      <c r="A80" s="7" t="inlineStr">
        <is>
          <t>X</t>
        </is>
      </c>
      <c r="C80" s="210" t="inlineStr">
        <is>
          <t>Balance Sheet Drivers</t>
        </is>
      </c>
      <c r="D80" s="54" t="n"/>
      <c r="E80" s="54" t="n"/>
      <c r="F80" s="54" t="n"/>
      <c r="G80" s="54" t="n"/>
      <c r="H80" s="54" t="n"/>
      <c r="I80" s="54" t="n"/>
      <c r="J80" s="211" t="inlineStr">
        <is>
          <t>FY26A / LTM</t>
        </is>
      </c>
      <c r="K80" s="54" t="n"/>
      <c r="L80" s="54" t="n"/>
      <c r="M80" s="54" t="n"/>
      <c r="N80" s="54" t="n"/>
      <c r="O80" s="54" t="n"/>
      <c r="P80" s="54" t="n"/>
      <c r="Q80" s="54" t="n"/>
      <c r="R80" s="54" t="n"/>
      <c r="S80" s="54" t="n"/>
      <c r="T80" s="55" t="n"/>
    </row>
    <row r="81" outlineLevel="1" ht="14.55" customFormat="1" customHeight="1" s="8">
      <c r="A81" s="7" t="n"/>
      <c r="C81" s="210">
        <f>Assumptions!$G$9</f>
        <v/>
      </c>
      <c r="D81" s="54" t="n"/>
      <c r="E81" s="54" t="n"/>
      <c r="F81" s="54" t="n"/>
      <c r="G81" s="54">
        <f>'Historical Financials'!G5</f>
        <v/>
      </c>
      <c r="H81" s="54">
        <f>'Historical Financials'!H5</f>
        <v/>
      </c>
      <c r="I81" s="54">
        <f>'Historical Financials'!I5</f>
        <v/>
      </c>
      <c r="J81" s="674">
        <f>'Historical Financials'!J5</f>
        <v/>
      </c>
      <c r="K81" s="54">
        <f>"FY"&amp;'Financial Model'!K$1&amp;"E"</f>
        <v/>
      </c>
      <c r="L81" s="54">
        <f>"FY"&amp;'Financial Model'!L$1&amp;"E"</f>
        <v/>
      </c>
      <c r="M81" s="54">
        <f>"FY"&amp;'Financial Model'!M$1&amp;"E"</f>
        <v/>
      </c>
      <c r="N81" s="54">
        <f>"FY"&amp;'Financial Model'!N$1&amp;"E"</f>
        <v/>
      </c>
      <c r="O81" s="54">
        <f>"FY"&amp;'Financial Model'!O$1&amp;"E"</f>
        <v/>
      </c>
      <c r="P81" s="54">
        <f>"FY"&amp;'Financial Model'!P$1&amp;"E"</f>
        <v/>
      </c>
      <c r="Q81" s="54">
        <f>"FY"&amp;'Financial Model'!Q$1&amp;"E"</f>
        <v/>
      </c>
      <c r="R81" s="54">
        <f>"FY"&amp;'Financial Model'!R$1&amp;"E"</f>
        <v/>
      </c>
      <c r="S81" s="54">
        <f>"FY"&amp;'Financial Model'!S$1&amp;"E"</f>
        <v/>
      </c>
      <c r="T81" s="55">
        <f>"FY"&amp;'Financial Model'!T$1&amp;"E"</f>
        <v/>
      </c>
    </row>
    <row r="82" outlineLevel="1" ht="5" customFormat="1" customHeight="1" s="8">
      <c r="A82" s="7" t="n"/>
      <c r="C82" s="9" t="n"/>
      <c r="D82" s="10" t="n"/>
      <c r="E82" s="10" t="n"/>
      <c r="F82" s="10" t="n"/>
      <c r="G82" s="242" t="n"/>
      <c r="H82" s="243" t="n"/>
      <c r="I82" s="243" t="n"/>
      <c r="J82" s="243" t="n"/>
      <c r="K82" s="243" t="n"/>
      <c r="L82" s="243" t="n"/>
      <c r="M82" s="243" t="n"/>
      <c r="N82" s="243" t="n"/>
      <c r="O82" s="243" t="n"/>
      <c r="P82" s="243" t="n"/>
      <c r="Q82" s="243" t="n"/>
      <c r="R82" s="243" t="n"/>
      <c r="S82" s="243" t="n"/>
      <c r="T82" s="243" t="n"/>
    </row>
    <row r="83" outlineLevel="1" ht="14.25" customFormat="1" customHeight="1" s="8">
      <c r="A83" s="7" t="n"/>
      <c r="C83" s="371">
        <f>'Financial Model'!C51</f>
        <v/>
      </c>
      <c r="D83" s="244" t="n"/>
      <c r="E83" s="244" t="n"/>
      <c r="F83" s="244" t="n"/>
      <c r="G83" s="725">
        <f>'Financial Model'!G51</f>
        <v/>
      </c>
      <c r="H83" s="725">
        <f>'Financial Model'!H51</f>
        <v/>
      </c>
      <c r="I83" s="725">
        <f>'Financial Model'!I51</f>
        <v/>
      </c>
      <c r="J83" s="725">
        <f>'Financial Model'!J51</f>
        <v/>
      </c>
      <c r="K83" s="678">
        <f>+K85*K86/365</f>
        <v/>
      </c>
      <c r="L83" s="678">
        <f>+L85*L86/365</f>
        <v/>
      </c>
      <c r="M83" s="678">
        <f>+M85*M86/365</f>
        <v/>
      </c>
      <c r="N83" s="678">
        <f>+N85*N86/365</f>
        <v/>
      </c>
      <c r="O83" s="678">
        <f>+O85*O86/365</f>
        <v/>
      </c>
      <c r="P83" s="678">
        <f>+P85*P86/365</f>
        <v/>
      </c>
      <c r="Q83" s="678">
        <f>+Q85*Q86/365</f>
        <v/>
      </c>
      <c r="R83" s="678">
        <f>+R85*R86/365</f>
        <v/>
      </c>
      <c r="S83" s="678">
        <f>+S85*S86/365</f>
        <v/>
      </c>
      <c r="T83" s="678">
        <f>+T85*T86/365</f>
        <v/>
      </c>
    </row>
    <row r="84" outlineLevel="1" ht="5.2" customFormat="1" customHeight="1" s="8">
      <c r="A84" s="7" t="n"/>
      <c r="C84" s="245" t="n"/>
      <c r="D84" s="94" t="n"/>
      <c r="E84" s="94" t="n"/>
      <c r="F84" s="94" t="n"/>
      <c r="G84" s="246" t="n"/>
      <c r="H84" s="247" t="n"/>
      <c r="I84" s="247" t="n"/>
      <c r="J84" s="247" t="n"/>
      <c r="K84" s="247" t="n"/>
      <c r="L84" s="247" t="n"/>
      <c r="M84" s="247" t="n"/>
      <c r="N84" s="247" t="n"/>
      <c r="O84" s="247" t="n"/>
      <c r="P84" s="247" t="n"/>
      <c r="Q84" s="247" t="n"/>
      <c r="R84" s="247" t="n"/>
      <c r="S84" s="247" t="n"/>
      <c r="T84" s="247" t="n"/>
    </row>
    <row r="85" outlineLevel="1" ht="14.25" customFormat="1" customHeight="1" s="8">
      <c r="A85" s="7" t="n"/>
      <c r="C85" s="257" t="inlineStr">
        <is>
          <t>Total Revenue</t>
        </is>
      </c>
      <c r="D85" s="94" t="n"/>
      <c r="E85" s="94" t="n"/>
      <c r="F85" s="94" t="n"/>
      <c r="G85" s="675">
        <f>+'Financial Model'!G$9</f>
        <v/>
      </c>
      <c r="H85" s="675">
        <f>+'Financial Model'!H$9</f>
        <v/>
      </c>
      <c r="I85" s="675">
        <f>+'Financial Model'!I$9</f>
        <v/>
      </c>
      <c r="J85" s="675">
        <f>+'Financial Model'!J$9</f>
        <v/>
      </c>
      <c r="K85" s="675">
        <f>+'Financial Model'!K$9</f>
        <v/>
      </c>
      <c r="L85" s="675">
        <f>+'Financial Model'!L$9</f>
        <v/>
      </c>
      <c r="M85" s="675">
        <f>+'Financial Model'!M$9</f>
        <v/>
      </c>
      <c r="N85" s="675">
        <f>+'Financial Model'!N$9</f>
        <v/>
      </c>
      <c r="O85" s="675">
        <f>+'Financial Model'!O$9</f>
        <v/>
      </c>
      <c r="P85" s="675">
        <f>+'Financial Model'!P$9</f>
        <v/>
      </c>
      <c r="Q85" s="675">
        <f>+'Financial Model'!Q$9</f>
        <v/>
      </c>
      <c r="R85" s="675">
        <f>+'Financial Model'!R$9</f>
        <v/>
      </c>
      <c r="S85" s="675">
        <f>+'Financial Model'!S$9</f>
        <v/>
      </c>
      <c r="T85" s="675">
        <f>+'Financial Model'!T$9</f>
        <v/>
      </c>
    </row>
    <row r="86" outlineLevel="1" ht="14.25" customFormat="1" customHeight="1" s="8">
      <c r="A86" s="7" t="n"/>
      <c r="C86" s="257" t="inlineStr">
        <is>
          <t>Days Sales Outstanding (DSO)</t>
        </is>
      </c>
      <c r="D86" s="94" t="n"/>
      <c r="E86" s="94" t="n"/>
      <c r="F86" s="94" t="n"/>
      <c r="G86" s="628">
        <f>G83/G85*365</f>
        <v/>
      </c>
      <c r="H86" s="628">
        <f>H83/H85*365</f>
        <v/>
      </c>
      <c r="I86" s="628">
        <f>I83/I85*365</f>
        <v/>
      </c>
      <c r="J86" s="628">
        <f>J83/J85*365</f>
        <v/>
      </c>
      <c r="K86" s="734">
        <f>$J$86</f>
        <v/>
      </c>
      <c r="L86" s="734">
        <f>$J$86</f>
        <v/>
      </c>
      <c r="M86" s="734">
        <f>$J$86</f>
        <v/>
      </c>
      <c r="N86" s="734">
        <f>$J$86</f>
        <v/>
      </c>
      <c r="O86" s="734">
        <f>$J$86</f>
        <v/>
      </c>
      <c r="P86" s="734">
        <f>$J$86</f>
        <v/>
      </c>
      <c r="Q86" s="734">
        <f>$J$86</f>
        <v/>
      </c>
      <c r="R86" s="734">
        <f>$J$86</f>
        <v/>
      </c>
      <c r="S86" s="734">
        <f>$J$86</f>
        <v/>
      </c>
      <c r="T86" s="734">
        <f>$J$86</f>
        <v/>
      </c>
    </row>
    <row r="87" outlineLevel="1" ht="14.25" customFormat="1" customHeight="1" s="8">
      <c r="A87" s="7" t="n"/>
      <c r="C87" s="245" t="n"/>
      <c r="D87" s="94" t="n"/>
      <c r="E87" s="94" t="n"/>
      <c r="F87" s="94" t="n"/>
      <c r="G87" s="246" t="n"/>
      <c r="H87" s="247" t="n"/>
      <c r="I87" s="247" t="n"/>
      <c r="J87" s="247" t="n"/>
      <c r="K87" s="247" t="n"/>
      <c r="L87" s="247" t="n"/>
      <c r="M87" s="247" t="n"/>
      <c r="N87" s="247" t="n"/>
      <c r="O87" s="247" t="n"/>
      <c r="P87" s="247" t="n"/>
      <c r="Q87" s="247" t="n"/>
      <c r="R87" s="247" t="n"/>
      <c r="S87" s="247" t="n"/>
      <c r="T87" s="247" t="n"/>
    </row>
    <row r="88" outlineLevel="1" ht="14.25" customFormat="1" customHeight="1" s="8">
      <c r="A88" s="7" t="n"/>
      <c r="C88" s="371">
        <f>'Financial Model'!C52</f>
        <v/>
      </c>
      <c r="D88" s="244" t="n"/>
      <c r="E88" s="244" t="n"/>
      <c r="F88" s="244" t="n"/>
      <c r="G88" s="725">
        <f>'Financial Model'!G52</f>
        <v/>
      </c>
      <c r="H88" s="725">
        <f>'Financial Model'!H52</f>
        <v/>
      </c>
      <c r="I88" s="725">
        <f>'Financial Model'!I52</f>
        <v/>
      </c>
      <c r="J88" s="725">
        <f>'Financial Model'!J52</f>
        <v/>
      </c>
      <c r="K88" s="678">
        <f>+K90*K91</f>
        <v/>
      </c>
      <c r="L88" s="678">
        <f>+L90*L91</f>
        <v/>
      </c>
      <c r="M88" s="678">
        <f>+M90*M91</f>
        <v/>
      </c>
      <c r="N88" s="678">
        <f>+N90*N91</f>
        <v/>
      </c>
      <c r="O88" s="678">
        <f>+O90*O91</f>
        <v/>
      </c>
      <c r="P88" s="678">
        <f>+P90*P91</f>
        <v/>
      </c>
      <c r="Q88" s="678">
        <f>+Q90*Q91</f>
        <v/>
      </c>
      <c r="R88" s="678">
        <f>+R90*R91</f>
        <v/>
      </c>
      <c r="S88" s="678">
        <f>+S90*S91</f>
        <v/>
      </c>
      <c r="T88" s="678">
        <f>+T90*T91</f>
        <v/>
      </c>
    </row>
    <row r="89" outlineLevel="1" ht="5.2" customFormat="1" customHeight="1" s="8">
      <c r="A89" s="7" t="n"/>
      <c r="C89" s="245" t="n"/>
      <c r="D89" s="94" t="n"/>
      <c r="E89" s="94" t="n"/>
      <c r="F89" s="94" t="n"/>
      <c r="G89" s="246" t="n"/>
      <c r="H89" s="247" t="n"/>
      <c r="I89" s="247" t="n"/>
      <c r="J89" s="247" t="n"/>
      <c r="K89" s="247" t="n"/>
      <c r="L89" s="247" t="n"/>
      <c r="M89" s="247" t="n"/>
      <c r="N89" s="247" t="n"/>
      <c r="O89" s="247" t="n"/>
      <c r="P89" s="247" t="n"/>
      <c r="Q89" s="247" t="n"/>
      <c r="R89" s="247" t="n"/>
      <c r="S89" s="247" t="n"/>
      <c r="T89" s="247" t="n"/>
    </row>
    <row r="90" outlineLevel="1" ht="14.25" customFormat="1" customHeight="1" s="8">
      <c r="A90" s="7" t="n"/>
      <c r="C90" s="245">
        <f>+'Financial Model'!C24</f>
        <v/>
      </c>
      <c r="E90" s="94" t="n"/>
      <c r="F90" s="94" t="n"/>
      <c r="G90" s="675">
        <f>+'Financial Model'!G24</f>
        <v/>
      </c>
      <c r="H90" s="675">
        <f>+'Financial Model'!H24</f>
        <v/>
      </c>
      <c r="I90" s="675">
        <f>+'Financial Model'!I24</f>
        <v/>
      </c>
      <c r="J90" s="675">
        <f>+'Financial Model'!J24</f>
        <v/>
      </c>
      <c r="K90" s="675">
        <f>+'Financial Model'!K24</f>
        <v/>
      </c>
      <c r="L90" s="675">
        <f>+'Financial Model'!L24</f>
        <v/>
      </c>
      <c r="M90" s="675">
        <f>+'Financial Model'!M24</f>
        <v/>
      </c>
      <c r="N90" s="675">
        <f>+'Financial Model'!N24</f>
        <v/>
      </c>
      <c r="O90" s="675">
        <f>+'Financial Model'!O24</f>
        <v/>
      </c>
      <c r="P90" s="675">
        <f>+'Financial Model'!P24</f>
        <v/>
      </c>
      <c r="Q90" s="675">
        <f>+'Financial Model'!Q24</f>
        <v/>
      </c>
      <c r="R90" s="675">
        <f>+'Financial Model'!R24</f>
        <v/>
      </c>
      <c r="S90" s="675">
        <f>+'Financial Model'!S24</f>
        <v/>
      </c>
      <c r="T90" s="675">
        <f>+'Financial Model'!T24</f>
        <v/>
      </c>
    </row>
    <row r="91" outlineLevel="1" ht="14.25" customFormat="1" customHeight="1" s="8">
      <c r="A91" s="7" t="n"/>
      <c r="C91" s="257" t="inlineStr">
        <is>
          <t>% of Opex</t>
        </is>
      </c>
      <c r="E91" s="94" t="n"/>
      <c r="F91" s="94" t="n"/>
      <c r="G91" s="135">
        <f>+G88/G90</f>
        <v/>
      </c>
      <c r="H91" s="135">
        <f>+H88/H90</f>
        <v/>
      </c>
      <c r="I91" s="135">
        <f>+I88/I90</f>
        <v/>
      </c>
      <c r="J91" s="135">
        <f>+J88/J90</f>
        <v/>
      </c>
      <c r="K91" s="373">
        <f>$J$91</f>
        <v/>
      </c>
      <c r="L91" s="373">
        <f>$J$91</f>
        <v/>
      </c>
      <c r="M91" s="373">
        <f>$J$91</f>
        <v/>
      </c>
      <c r="N91" s="373">
        <f>$J$91</f>
        <v/>
      </c>
      <c r="O91" s="373">
        <f>$J$91</f>
        <v/>
      </c>
      <c r="P91" s="373">
        <f>$J$91</f>
        <v/>
      </c>
      <c r="Q91" s="373">
        <f>$J$91</f>
        <v/>
      </c>
      <c r="R91" s="373">
        <f>$J$91</f>
        <v/>
      </c>
      <c r="S91" s="373">
        <f>$J$91</f>
        <v/>
      </c>
      <c r="T91" s="373">
        <f>$J$91</f>
        <v/>
      </c>
    </row>
    <row r="92" outlineLevel="1" ht="14.25" customFormat="1" customHeight="1" s="8">
      <c r="A92" s="7" t="n"/>
      <c r="C92" s="245" t="n"/>
      <c r="D92" s="94" t="n"/>
      <c r="E92" s="94" t="n"/>
      <c r="F92" s="94" t="n"/>
      <c r="G92" s="246" t="n"/>
      <c r="H92" s="247" t="n"/>
      <c r="I92" s="247" t="n"/>
      <c r="J92" s="247" t="n"/>
      <c r="K92" s="247" t="n"/>
      <c r="L92" s="247" t="n"/>
      <c r="M92" s="247" t="n"/>
      <c r="N92" s="247" t="n"/>
      <c r="O92" s="247" t="n"/>
      <c r="P92" s="247" t="n"/>
      <c r="Q92" s="247" t="n"/>
      <c r="R92" s="247" t="n"/>
      <c r="S92" s="247" t="n"/>
      <c r="T92" s="247" t="n"/>
    </row>
    <row r="93" outlineLevel="1" ht="14.25" customFormat="1" customHeight="1" s="8">
      <c r="A93" s="7" t="n"/>
      <c r="C93" s="371">
        <f>'Financial Model'!C53</f>
        <v/>
      </c>
      <c r="D93" s="244" t="n"/>
      <c r="E93" s="244" t="n"/>
      <c r="F93" s="244" t="n"/>
      <c r="G93" s="725">
        <f>'Financial Model'!G53</f>
        <v/>
      </c>
      <c r="H93" s="725">
        <f>'Financial Model'!H53</f>
        <v/>
      </c>
      <c r="I93" s="725">
        <f>'Financial Model'!I53</f>
        <v/>
      </c>
      <c r="J93" s="725">
        <f>'Financial Model'!J53</f>
        <v/>
      </c>
      <c r="K93" s="678">
        <f>+K95*K96/365</f>
        <v/>
      </c>
      <c r="L93" s="678">
        <f>+L95*L96/365</f>
        <v/>
      </c>
      <c r="M93" s="678">
        <f>+M95*M96/365</f>
        <v/>
      </c>
      <c r="N93" s="678">
        <f>+N95*N96/365</f>
        <v/>
      </c>
      <c r="O93" s="678">
        <f>+O95*O96/365</f>
        <v/>
      </c>
      <c r="P93" s="678">
        <f>+P95*P96/365</f>
        <v/>
      </c>
      <c r="Q93" s="678">
        <f>+Q95*Q96/365</f>
        <v/>
      </c>
      <c r="R93" s="678">
        <f>+R95*R96/365</f>
        <v/>
      </c>
      <c r="S93" s="678">
        <f>+S95*S96/365</f>
        <v/>
      </c>
      <c r="T93" s="678">
        <f>+T95*T96/365</f>
        <v/>
      </c>
    </row>
    <row r="94" outlineLevel="1" ht="5.2" customFormat="1" customHeight="1" s="8">
      <c r="A94" s="7" t="n"/>
      <c r="C94" s="245" t="n"/>
      <c r="D94" s="94" t="n"/>
      <c r="E94" s="94" t="n"/>
      <c r="F94" s="94" t="n"/>
      <c r="G94" s="246" t="n"/>
      <c r="H94" s="247" t="n"/>
      <c r="I94" s="247" t="n"/>
      <c r="J94" s="247" t="n"/>
      <c r="K94" s="247" t="n"/>
      <c r="L94" s="247" t="n"/>
      <c r="M94" s="247" t="n"/>
      <c r="N94" s="247" t="n"/>
      <c r="O94" s="247" t="n"/>
      <c r="P94" s="247" t="n"/>
      <c r="Q94" s="247" t="n"/>
      <c r="R94" s="247" t="n"/>
      <c r="S94" s="247" t="n"/>
      <c r="T94" s="247" t="n"/>
    </row>
    <row r="95" outlineLevel="1" ht="14.25" customFormat="1" customHeight="1" s="8">
      <c r="A95" s="7" t="n"/>
      <c r="C95" s="245">
        <f>+'Financial Model'!C14</f>
        <v/>
      </c>
      <c r="D95" s="94" t="n"/>
      <c r="E95" s="94" t="n"/>
      <c r="F95" s="94" t="n"/>
      <c r="G95" s="675">
        <f>+'Financial Model'!G14</f>
        <v/>
      </c>
      <c r="H95" s="675">
        <f>+'Financial Model'!H14</f>
        <v/>
      </c>
      <c r="I95" s="675">
        <f>+'Financial Model'!I14</f>
        <v/>
      </c>
      <c r="J95" s="675">
        <f>+'Financial Model'!J14</f>
        <v/>
      </c>
      <c r="K95" s="675">
        <f>+'Financial Model'!K14</f>
        <v/>
      </c>
      <c r="L95" s="675">
        <f>+'Financial Model'!L14</f>
        <v/>
      </c>
      <c r="M95" s="675">
        <f>+'Financial Model'!M14</f>
        <v/>
      </c>
      <c r="N95" s="675">
        <f>+'Financial Model'!N14</f>
        <v/>
      </c>
      <c r="O95" s="675">
        <f>+'Financial Model'!O14</f>
        <v/>
      </c>
      <c r="P95" s="675">
        <f>+'Financial Model'!P14</f>
        <v/>
      </c>
      <c r="Q95" s="675">
        <f>+'Financial Model'!Q14</f>
        <v/>
      </c>
      <c r="R95" s="675">
        <f>+'Financial Model'!R14</f>
        <v/>
      </c>
      <c r="S95" s="675">
        <f>+'Financial Model'!S14</f>
        <v/>
      </c>
      <c r="T95" s="675">
        <f>+'Financial Model'!T14</f>
        <v/>
      </c>
    </row>
    <row r="96" outlineLevel="1" ht="14.25" customFormat="1" customHeight="1" s="8">
      <c r="A96" s="7" t="n"/>
      <c r="C96" s="257" t="inlineStr">
        <is>
          <t>Days in Inventory</t>
        </is>
      </c>
      <c r="D96" s="94" t="n"/>
      <c r="E96" s="94" t="n"/>
      <c r="F96" s="94" t="n"/>
      <c r="G96" s="628">
        <f>+G93/G95*365</f>
        <v/>
      </c>
      <c r="H96" s="628">
        <f>+H93/H95*365</f>
        <v/>
      </c>
      <c r="I96" s="628">
        <f>+I93/I95*365</f>
        <v/>
      </c>
      <c r="J96" s="628">
        <f>+J93/J95*365</f>
        <v/>
      </c>
      <c r="K96" s="734">
        <f>$J$96</f>
        <v/>
      </c>
      <c r="L96" s="734">
        <f>$J$96</f>
        <v/>
      </c>
      <c r="M96" s="734">
        <f>$J$96</f>
        <v/>
      </c>
      <c r="N96" s="734">
        <f>$J$96</f>
        <v/>
      </c>
      <c r="O96" s="734">
        <f>$J$96</f>
        <v/>
      </c>
      <c r="P96" s="734">
        <f>$J$96</f>
        <v/>
      </c>
      <c r="Q96" s="734">
        <f>$J$96</f>
        <v/>
      </c>
      <c r="R96" s="734">
        <f>$J$96</f>
        <v/>
      </c>
      <c r="S96" s="734">
        <f>$J$96</f>
        <v/>
      </c>
      <c r="T96" s="734">
        <f>$J$96</f>
        <v/>
      </c>
    </row>
    <row r="97" outlineLevel="1" ht="14.25" customFormat="1" customHeight="1" s="8">
      <c r="A97" s="7" t="n"/>
      <c r="C97" s="245" t="n"/>
      <c r="D97" s="94" t="n"/>
      <c r="E97" s="94" t="n"/>
      <c r="F97" s="94" t="n"/>
      <c r="G97" s="246" t="n"/>
      <c r="H97" s="247" t="n"/>
      <c r="I97" s="247" t="n"/>
      <c r="J97" s="247" t="n"/>
      <c r="K97" s="247" t="n"/>
      <c r="L97" s="247" t="n"/>
      <c r="M97" s="247" t="n"/>
      <c r="N97" s="247" t="n"/>
      <c r="O97" s="247" t="n"/>
      <c r="P97" s="247" t="n"/>
      <c r="Q97" s="247" t="n"/>
      <c r="R97" s="247" t="n"/>
      <c r="S97" s="247" t="n"/>
      <c r="T97" s="247" t="n"/>
    </row>
    <row r="98" outlineLevel="1" ht="14.25" customFormat="1" customHeight="1" s="8">
      <c r="A98" s="7" t="n"/>
      <c r="C98" s="371">
        <f>'Financial Model'!C54</f>
        <v/>
      </c>
      <c r="D98" s="244" t="n"/>
      <c r="E98" s="244" t="n"/>
      <c r="F98" s="244" t="n"/>
      <c r="G98" s="725">
        <f>'Financial Model'!G54</f>
        <v/>
      </c>
      <c r="H98" s="725">
        <f>'Financial Model'!H54</f>
        <v/>
      </c>
      <c r="I98" s="725">
        <f>'Financial Model'!I54</f>
        <v/>
      </c>
      <c r="J98" s="725">
        <f>'Financial Model'!J54</f>
        <v/>
      </c>
      <c r="K98" s="678">
        <f>+K100*K101</f>
        <v/>
      </c>
      <c r="L98" s="678">
        <f>+L100*L101</f>
        <v/>
      </c>
      <c r="M98" s="678">
        <f>+M100*M101</f>
        <v/>
      </c>
      <c r="N98" s="678">
        <f>+N100*N101</f>
        <v/>
      </c>
      <c r="O98" s="678">
        <f>+O100*O101</f>
        <v/>
      </c>
      <c r="P98" s="678">
        <f>+P100*P101</f>
        <v/>
      </c>
      <c r="Q98" s="678">
        <f>+Q100*Q101</f>
        <v/>
      </c>
      <c r="R98" s="678">
        <f>+R100*R101</f>
        <v/>
      </c>
      <c r="S98" s="678">
        <f>+S100*S101</f>
        <v/>
      </c>
      <c r="T98" s="678">
        <f>+T100*T101</f>
        <v/>
      </c>
    </row>
    <row r="99" outlineLevel="1" ht="5.2" customFormat="1" customHeight="1" s="8">
      <c r="A99" s="7" t="n"/>
      <c r="C99" s="245" t="n"/>
      <c r="D99" s="94" t="n"/>
      <c r="E99" s="94" t="n"/>
      <c r="F99" s="94" t="n"/>
      <c r="G99" s="246" t="n"/>
      <c r="H99" s="247" t="n"/>
      <c r="I99" s="247" t="n"/>
      <c r="J99" s="247" t="n"/>
      <c r="K99" s="247" t="n"/>
      <c r="L99" s="247" t="n"/>
      <c r="M99" s="247" t="n"/>
      <c r="N99" s="247" t="n"/>
      <c r="O99" s="247" t="n"/>
      <c r="P99" s="247" t="n"/>
      <c r="Q99" s="247" t="n"/>
      <c r="R99" s="247" t="n"/>
      <c r="S99" s="247" t="n"/>
      <c r="T99" s="247" t="n"/>
    </row>
    <row r="100" outlineLevel="1" ht="14.25" customFormat="1" customHeight="1" s="8">
      <c r="A100" s="7" t="n"/>
      <c r="C100" s="257" t="inlineStr">
        <is>
          <t>Total Revenue</t>
        </is>
      </c>
      <c r="D100" s="94" t="n"/>
      <c r="E100" s="94" t="n"/>
      <c r="F100" s="94" t="n"/>
      <c r="G100" s="675">
        <f>+'Financial Model'!G$9</f>
        <v/>
      </c>
      <c r="H100" s="675">
        <f>+'Financial Model'!H$9</f>
        <v/>
      </c>
      <c r="I100" s="675">
        <f>+'Financial Model'!I$9</f>
        <v/>
      </c>
      <c r="J100" s="675">
        <f>+'Financial Model'!J$9</f>
        <v/>
      </c>
      <c r="K100" s="675">
        <f>+'Financial Model'!K$9</f>
        <v/>
      </c>
      <c r="L100" s="675">
        <f>+'Financial Model'!L$9</f>
        <v/>
      </c>
      <c r="M100" s="675">
        <f>+'Financial Model'!M$9</f>
        <v/>
      </c>
      <c r="N100" s="675">
        <f>+'Financial Model'!N$9</f>
        <v/>
      </c>
      <c r="O100" s="675">
        <f>+'Financial Model'!O$9</f>
        <v/>
      </c>
      <c r="P100" s="675">
        <f>+'Financial Model'!P$9</f>
        <v/>
      </c>
      <c r="Q100" s="675">
        <f>+'Financial Model'!Q$9</f>
        <v/>
      </c>
      <c r="R100" s="675">
        <f>+'Financial Model'!R$9</f>
        <v/>
      </c>
      <c r="S100" s="675">
        <f>+'Financial Model'!S$9</f>
        <v/>
      </c>
      <c r="T100" s="675">
        <f>+'Financial Model'!T$9</f>
        <v/>
      </c>
    </row>
    <row r="101" outlineLevel="1" ht="14.25" customFormat="1" customHeight="1" s="8">
      <c r="A101" s="7" t="n"/>
      <c r="C101" s="257" t="inlineStr">
        <is>
          <t>% of Total Revenue</t>
        </is>
      </c>
      <c r="D101" s="94" t="n"/>
      <c r="E101" s="94" t="n"/>
      <c r="F101" s="94" t="n"/>
      <c r="G101" s="135">
        <f>+G98/G100</f>
        <v/>
      </c>
      <c r="H101" s="135">
        <f>+H98/H100</f>
        <v/>
      </c>
      <c r="I101" s="135">
        <f>+I98/I100</f>
        <v/>
      </c>
      <c r="J101" s="135">
        <f>+J98/J100</f>
        <v/>
      </c>
      <c r="K101" s="373">
        <f>$J$101</f>
        <v/>
      </c>
      <c r="L101" s="373">
        <f>$J$101</f>
        <v/>
      </c>
      <c r="M101" s="373">
        <f>$J$101</f>
        <v/>
      </c>
      <c r="N101" s="373">
        <f>$J$101</f>
        <v/>
      </c>
      <c r="O101" s="373">
        <f>$J$101</f>
        <v/>
      </c>
      <c r="P101" s="373">
        <f>$J$101</f>
        <v/>
      </c>
      <c r="Q101" s="373">
        <f>$J$101</f>
        <v/>
      </c>
      <c r="R101" s="373">
        <f>$J$101</f>
        <v/>
      </c>
      <c r="S101" s="373">
        <f>$J$101</f>
        <v/>
      </c>
      <c r="T101" s="373">
        <f>$J$101</f>
        <v/>
      </c>
    </row>
    <row r="102" outlineLevel="1" ht="14.25" customFormat="1" customHeight="1" s="8">
      <c r="A102" s="7" t="n"/>
      <c r="C102" s="245" t="n"/>
      <c r="D102" s="94" t="n"/>
      <c r="E102" s="94" t="n"/>
      <c r="F102" s="94" t="n"/>
      <c r="G102" s="246" t="n"/>
      <c r="H102" s="247" t="n"/>
      <c r="I102" s="247" t="n"/>
      <c r="J102" s="247" t="n"/>
      <c r="K102" s="247" t="n"/>
      <c r="L102" s="247" t="n"/>
      <c r="M102" s="247" t="n"/>
      <c r="N102" s="247" t="n"/>
      <c r="O102" s="247" t="n"/>
      <c r="P102" s="247" t="n"/>
      <c r="Q102" s="247" t="n"/>
      <c r="R102" s="247" t="n"/>
      <c r="S102" s="247" t="n"/>
      <c r="T102" s="247" t="n"/>
    </row>
    <row r="103" outlineLevel="1" ht="14.25" customFormat="1" customHeight="1" s="8">
      <c r="A103" s="7" t="n"/>
      <c r="C103" s="371">
        <f>+'Financial Model'!C65</f>
        <v/>
      </c>
      <c r="D103" s="244" t="n"/>
      <c r="E103" s="244" t="n"/>
      <c r="F103" s="244" t="n"/>
      <c r="G103" s="725">
        <f>+'Financial Model'!G65</f>
        <v/>
      </c>
      <c r="H103" s="725">
        <f>+'Financial Model'!H65</f>
        <v/>
      </c>
      <c r="I103" s="725">
        <f>+'Financial Model'!I65</f>
        <v/>
      </c>
      <c r="J103" s="725">
        <f>+'Financial Model'!J65</f>
        <v/>
      </c>
      <c r="K103" s="678">
        <f>+K105*K106</f>
        <v/>
      </c>
      <c r="L103" s="678">
        <f>+L105*L106</f>
        <v/>
      </c>
      <c r="M103" s="678">
        <f>+M105*M106</f>
        <v/>
      </c>
      <c r="N103" s="678">
        <f>+N105*N106</f>
        <v/>
      </c>
      <c r="O103" s="678">
        <f>+O105*O106</f>
        <v/>
      </c>
      <c r="P103" s="678">
        <f>+P105*P106</f>
        <v/>
      </c>
      <c r="Q103" s="678">
        <f>+Q105*Q106</f>
        <v/>
      </c>
      <c r="R103" s="678">
        <f>+R105*R106</f>
        <v/>
      </c>
      <c r="S103" s="678">
        <f>+S105*S106</f>
        <v/>
      </c>
      <c r="T103" s="678">
        <f>+T105*T106</f>
        <v/>
      </c>
    </row>
    <row r="104" outlineLevel="1" ht="5.2" customFormat="1" customHeight="1" s="8">
      <c r="A104" s="7" t="n"/>
      <c r="C104" s="245" t="n"/>
      <c r="D104" s="94" t="n"/>
      <c r="E104" s="94" t="n"/>
      <c r="F104" s="94" t="n"/>
      <c r="G104" s="246" t="n"/>
      <c r="H104" s="247" t="n"/>
      <c r="I104" s="247" t="n"/>
      <c r="J104" s="247" t="n"/>
      <c r="K104" s="247" t="n"/>
      <c r="L104" s="247" t="n"/>
      <c r="M104" s="247" t="n"/>
      <c r="N104" s="247" t="n"/>
      <c r="O104" s="247" t="n"/>
      <c r="P104" s="247" t="n"/>
      <c r="Q104" s="247" t="n"/>
      <c r="R104" s="247" t="n"/>
      <c r="S104" s="247" t="n"/>
      <c r="T104" s="247" t="n"/>
    </row>
    <row r="105" outlineLevel="1" ht="14.25" customFormat="1" customHeight="1" s="8">
      <c r="A105" s="7" t="n"/>
      <c r="C105" s="257" t="inlineStr">
        <is>
          <t>Total Revenue</t>
        </is>
      </c>
      <c r="D105" s="94" t="n"/>
      <c r="E105" s="94" t="n"/>
      <c r="F105" s="94" t="n"/>
      <c r="G105" s="675">
        <f>+'Financial Model'!G$9</f>
        <v/>
      </c>
      <c r="H105" s="675">
        <f>+'Financial Model'!H$9</f>
        <v/>
      </c>
      <c r="I105" s="675">
        <f>+'Financial Model'!I$9</f>
        <v/>
      </c>
      <c r="J105" s="675">
        <f>+'Financial Model'!J$9</f>
        <v/>
      </c>
      <c r="K105" s="675">
        <f>+'Financial Model'!K$9</f>
        <v/>
      </c>
      <c r="L105" s="675">
        <f>+'Financial Model'!L$9</f>
        <v/>
      </c>
      <c r="M105" s="675">
        <f>+'Financial Model'!M$9</f>
        <v/>
      </c>
      <c r="N105" s="675">
        <f>+'Financial Model'!N$9</f>
        <v/>
      </c>
      <c r="O105" s="675">
        <f>+'Financial Model'!O$9</f>
        <v/>
      </c>
      <c r="P105" s="675">
        <f>+'Financial Model'!P$9</f>
        <v/>
      </c>
      <c r="Q105" s="675">
        <f>+'Financial Model'!Q$9</f>
        <v/>
      </c>
      <c r="R105" s="675">
        <f>+'Financial Model'!R$9</f>
        <v/>
      </c>
      <c r="S105" s="675">
        <f>+'Financial Model'!S$9</f>
        <v/>
      </c>
      <c r="T105" s="675">
        <f>+'Financial Model'!T$9</f>
        <v/>
      </c>
    </row>
    <row r="106" outlineLevel="1" ht="14.25" customFormat="1" customHeight="1" s="8">
      <c r="A106" s="7" t="n"/>
      <c r="C106" s="257" t="inlineStr">
        <is>
          <t>% of Total Revenue</t>
        </is>
      </c>
      <c r="D106" s="94" t="n"/>
      <c r="E106" s="94" t="n"/>
      <c r="F106" s="94" t="n"/>
      <c r="G106" s="135">
        <f>+G103/G105</f>
        <v/>
      </c>
      <c r="H106" s="135">
        <f>+H103/H105</f>
        <v/>
      </c>
      <c r="I106" s="135">
        <f>+I103/I105</f>
        <v/>
      </c>
      <c r="J106" s="135">
        <f>+J103/J105</f>
        <v/>
      </c>
      <c r="K106" s="373">
        <f>$J$106</f>
        <v/>
      </c>
      <c r="L106" s="373">
        <f>$J$106</f>
        <v/>
      </c>
      <c r="M106" s="373">
        <f>$J$106</f>
        <v/>
      </c>
      <c r="N106" s="373">
        <f>$J$106</f>
        <v/>
      </c>
      <c r="O106" s="373">
        <f>$J$106</f>
        <v/>
      </c>
      <c r="P106" s="373">
        <f>$J$106</f>
        <v/>
      </c>
      <c r="Q106" s="373">
        <f>$J$106</f>
        <v/>
      </c>
      <c r="R106" s="373">
        <f>$J$106</f>
        <v/>
      </c>
      <c r="S106" s="373">
        <f>$J$106</f>
        <v/>
      </c>
      <c r="T106" s="373">
        <f>$J$106</f>
        <v/>
      </c>
    </row>
    <row r="107" outlineLevel="1" ht="14.25" customFormat="1" customHeight="1" s="8" thickBot="1">
      <c r="A107" s="7" t="n"/>
      <c r="C107" s="249" t="n"/>
      <c r="D107" s="250" t="n"/>
      <c r="E107" s="250" t="n"/>
      <c r="F107" s="250" t="n"/>
      <c r="G107" s="251" t="n"/>
      <c r="H107" s="252" t="n"/>
      <c r="I107" s="252" t="n"/>
      <c r="J107" s="252" t="n"/>
      <c r="K107" s="252" t="n"/>
      <c r="L107" s="252" t="n"/>
      <c r="M107" s="252" t="n"/>
      <c r="N107" s="252" t="n"/>
      <c r="O107" s="252" t="n"/>
      <c r="P107" s="252" t="n"/>
      <c r="Q107" s="252" t="n"/>
      <c r="R107" s="252" t="n"/>
      <c r="S107" s="252" t="n"/>
      <c r="T107" s="252" t="n"/>
    </row>
    <row r="108" outlineLevel="1" ht="14.25" customFormat="1" customHeight="1" s="8">
      <c r="A108" s="7" t="n"/>
      <c r="C108" s="245" t="n"/>
      <c r="D108" s="94" t="n"/>
      <c r="E108" s="94" t="n"/>
      <c r="F108" s="94" t="n"/>
      <c r="G108" s="246" t="n"/>
      <c r="H108" s="247" t="n"/>
      <c r="I108" s="247" t="n"/>
      <c r="J108" s="247" t="n"/>
      <c r="K108" s="247" t="n"/>
      <c r="L108" s="247" t="n"/>
      <c r="M108" s="247" t="n"/>
      <c r="N108" s="247" t="n"/>
      <c r="O108" s="247" t="n"/>
      <c r="P108" s="247" t="n"/>
      <c r="Q108" s="247" t="n"/>
      <c r="R108" s="247" t="n"/>
      <c r="S108" s="247" t="n"/>
      <c r="T108" s="247" t="n"/>
    </row>
    <row r="109" outlineLevel="1" ht="14.25" customFormat="1" customHeight="1" s="8">
      <c r="A109" s="7" t="n"/>
      <c r="C109" s="371">
        <f>'Financial Model'!$C$69</f>
        <v/>
      </c>
      <c r="D109" s="244" t="n"/>
      <c r="E109" s="244" t="n"/>
      <c r="F109" s="244" t="n"/>
      <c r="G109" s="725">
        <f>+'Financial Model'!G69</f>
        <v/>
      </c>
      <c r="H109" s="725">
        <f>+'Financial Model'!H69</f>
        <v/>
      </c>
      <c r="I109" s="725">
        <f>+'Financial Model'!I69</f>
        <v/>
      </c>
      <c r="J109" s="725">
        <f>+'Financial Model'!J69</f>
        <v/>
      </c>
      <c r="K109" s="678">
        <f>+K111*K112/365</f>
        <v/>
      </c>
      <c r="L109" s="678">
        <f>+L111*L112/365</f>
        <v/>
      </c>
      <c r="M109" s="678">
        <f>+M111*M112/365</f>
        <v/>
      </c>
      <c r="N109" s="678">
        <f>+N111*N112/365</f>
        <v/>
      </c>
      <c r="O109" s="678">
        <f>+O111*O112/365</f>
        <v/>
      </c>
      <c r="P109" s="678">
        <f>+P111*P112/365</f>
        <v/>
      </c>
      <c r="Q109" s="678">
        <f>+Q111*Q112/365</f>
        <v/>
      </c>
      <c r="R109" s="678">
        <f>+R111*R112/365</f>
        <v/>
      </c>
      <c r="S109" s="678">
        <f>+S111*S112/365</f>
        <v/>
      </c>
      <c r="T109" s="678">
        <f>+T111*T112/365</f>
        <v/>
      </c>
    </row>
    <row r="110" outlineLevel="1" ht="5.2" customFormat="1" customHeight="1" s="8">
      <c r="A110" s="7" t="n"/>
      <c r="C110" s="245" t="n"/>
      <c r="D110" s="94" t="n"/>
      <c r="E110" s="94" t="n"/>
      <c r="F110" s="94" t="n"/>
      <c r="G110" s="246" t="n"/>
      <c r="H110" s="247" t="n"/>
      <c r="I110" s="247" t="n"/>
      <c r="J110" s="247" t="n"/>
      <c r="K110" s="247" t="n"/>
      <c r="L110" s="247" t="n"/>
      <c r="M110" s="247" t="n"/>
      <c r="N110" s="247" t="n"/>
      <c r="O110" s="247" t="n"/>
      <c r="P110" s="247" t="n"/>
      <c r="Q110" s="247" t="n"/>
      <c r="R110" s="247" t="n"/>
      <c r="S110" s="247" t="n"/>
      <c r="T110" s="247" t="n"/>
    </row>
    <row r="111" outlineLevel="1" ht="14.25" customFormat="1" customHeight="1" s="8">
      <c r="A111" s="7" t="n"/>
      <c r="C111" s="257" t="inlineStr">
        <is>
          <t>Cost of Goods Sold</t>
        </is>
      </c>
      <c r="D111" s="94" t="n"/>
      <c r="E111" s="94" t="n"/>
      <c r="F111" s="94" t="n"/>
      <c r="G111" s="675">
        <f>+'Financial Model'!G14</f>
        <v/>
      </c>
      <c r="H111" s="675">
        <f>+'Financial Model'!H14</f>
        <v/>
      </c>
      <c r="I111" s="675">
        <f>+'Financial Model'!I14</f>
        <v/>
      </c>
      <c r="J111" s="675">
        <f>+'Financial Model'!J14</f>
        <v/>
      </c>
      <c r="K111" s="675">
        <f>+'Financial Model'!K14</f>
        <v/>
      </c>
      <c r="L111" s="675">
        <f>+'Financial Model'!L14</f>
        <v/>
      </c>
      <c r="M111" s="675">
        <f>+'Financial Model'!M14</f>
        <v/>
      </c>
      <c r="N111" s="675">
        <f>+'Financial Model'!N14</f>
        <v/>
      </c>
      <c r="O111" s="675">
        <f>+'Financial Model'!O14</f>
        <v/>
      </c>
      <c r="P111" s="675">
        <f>+'Financial Model'!P14</f>
        <v/>
      </c>
      <c r="Q111" s="675">
        <f>+'Financial Model'!Q14</f>
        <v/>
      </c>
      <c r="R111" s="675">
        <f>+'Financial Model'!R14</f>
        <v/>
      </c>
      <c r="S111" s="675">
        <f>+'Financial Model'!S14</f>
        <v/>
      </c>
      <c r="T111" s="675">
        <f>+'Financial Model'!T14</f>
        <v/>
      </c>
    </row>
    <row r="112" outlineLevel="1" ht="14.25" customFormat="1" customHeight="1" s="8">
      <c r="A112" s="7" t="n"/>
      <c r="C112" s="257" t="inlineStr">
        <is>
          <t>Days Payable Outstanding (DPO)</t>
        </is>
      </c>
      <c r="D112" s="94" t="n"/>
      <c r="E112" s="94" t="n"/>
      <c r="F112" s="94" t="n"/>
      <c r="G112" s="628">
        <f>+G109/G111*365</f>
        <v/>
      </c>
      <c r="H112" s="628">
        <f>+H109/H111*365</f>
        <v/>
      </c>
      <c r="I112" s="628">
        <f>+I109/I111*365</f>
        <v/>
      </c>
      <c r="J112" s="628">
        <f>+J109/J111*365</f>
        <v/>
      </c>
      <c r="K112" s="734">
        <f>$J$112</f>
        <v/>
      </c>
      <c r="L112" s="734">
        <f>$J$112</f>
        <v/>
      </c>
      <c r="M112" s="734">
        <f>$J$112</f>
        <v/>
      </c>
      <c r="N112" s="734">
        <f>$J$112</f>
        <v/>
      </c>
      <c r="O112" s="734">
        <f>$J$112</f>
        <v/>
      </c>
      <c r="P112" s="734">
        <f>$J$112</f>
        <v/>
      </c>
      <c r="Q112" s="734">
        <f>$J$112</f>
        <v/>
      </c>
      <c r="R112" s="734">
        <f>$J$112</f>
        <v/>
      </c>
      <c r="S112" s="734">
        <f>$J$112</f>
        <v/>
      </c>
      <c r="T112" s="734">
        <f>$J$112</f>
        <v/>
      </c>
    </row>
    <row r="113" outlineLevel="1" ht="14.25" customFormat="1" customHeight="1" s="8">
      <c r="A113" s="7" t="n"/>
      <c r="C113" s="245" t="n"/>
      <c r="D113" s="94" t="n"/>
      <c r="E113" s="94" t="n"/>
      <c r="F113" s="94" t="n"/>
      <c r="G113" s="246" t="n"/>
      <c r="H113" s="247" t="n"/>
      <c r="I113" s="247" t="n"/>
      <c r="J113" s="247" t="n"/>
      <c r="K113" s="247" t="n"/>
      <c r="L113" s="247" t="n"/>
      <c r="M113" s="247" t="n"/>
      <c r="N113" s="247" t="n"/>
      <c r="O113" s="247" t="n"/>
      <c r="P113" s="247" t="n"/>
      <c r="Q113" s="247" t="n"/>
      <c r="R113" s="247" t="n"/>
      <c r="S113" s="247" t="n"/>
      <c r="T113" s="247" t="n"/>
    </row>
    <row r="114" outlineLevel="1" ht="14.25" customFormat="1" customHeight="1" s="8">
      <c r="A114" s="7" t="n"/>
      <c r="C114" s="371">
        <f>'Financial Model'!$C$70</f>
        <v/>
      </c>
      <c r="D114" s="244" t="n"/>
      <c r="E114" s="244" t="n"/>
      <c r="F114" s="244" t="n"/>
      <c r="G114" s="725">
        <f>+'Financial Model'!G70</f>
        <v/>
      </c>
      <c r="H114" s="725">
        <f>+'Financial Model'!H70</f>
        <v/>
      </c>
      <c r="I114" s="725">
        <f>+'Financial Model'!I70</f>
        <v/>
      </c>
      <c r="J114" s="725">
        <f>+'Financial Model'!J70</f>
        <v/>
      </c>
      <c r="K114" s="678">
        <f>+K116*K117</f>
        <v/>
      </c>
      <c r="L114" s="678">
        <f>+L116*L117</f>
        <v/>
      </c>
      <c r="M114" s="678">
        <f>+M116*M117</f>
        <v/>
      </c>
      <c r="N114" s="678">
        <f>+N116*N117</f>
        <v/>
      </c>
      <c r="O114" s="678">
        <f>+O116*O117</f>
        <v/>
      </c>
      <c r="P114" s="678">
        <f>+P116*P117</f>
        <v/>
      </c>
      <c r="Q114" s="678">
        <f>+Q116*Q117</f>
        <v/>
      </c>
      <c r="R114" s="678">
        <f>+R116*R117</f>
        <v/>
      </c>
      <c r="S114" s="678">
        <f>+S116*S117</f>
        <v/>
      </c>
      <c r="T114" s="678">
        <f>+T116*T117</f>
        <v/>
      </c>
    </row>
    <row r="115" outlineLevel="1" ht="5.2" customFormat="1" customHeight="1" s="8">
      <c r="A115" s="7" t="n"/>
      <c r="C115" s="245" t="n"/>
      <c r="D115" s="94" t="n"/>
      <c r="E115" s="94" t="n"/>
      <c r="F115" s="94" t="n"/>
      <c r="G115" s="246" t="n"/>
      <c r="H115" s="247" t="n"/>
      <c r="I115" s="247" t="n"/>
      <c r="J115" s="247" t="n"/>
      <c r="K115" s="247" t="n"/>
      <c r="L115" s="247" t="n"/>
      <c r="M115" s="247" t="n"/>
      <c r="N115" s="247" t="n"/>
      <c r="O115" s="247" t="n"/>
      <c r="P115" s="247" t="n"/>
      <c r="Q115" s="247" t="n"/>
      <c r="R115" s="247" t="n"/>
      <c r="S115" s="247" t="n"/>
      <c r="T115" s="247" t="n"/>
    </row>
    <row r="116" outlineLevel="1" ht="14.25" customFormat="1" customHeight="1" s="8">
      <c r="A116" s="7" t="n"/>
      <c r="C116" s="257" t="inlineStr">
        <is>
          <t>Operating Expenses</t>
        </is>
      </c>
      <c r="D116" s="94" t="n"/>
      <c r="E116" s="94" t="n"/>
      <c r="F116" s="94" t="n"/>
      <c r="G116" s="675">
        <f>+'Financial Model'!G24</f>
        <v/>
      </c>
      <c r="H116" s="675">
        <f>+'Financial Model'!H24</f>
        <v/>
      </c>
      <c r="I116" s="675">
        <f>+'Financial Model'!I24</f>
        <v/>
      </c>
      <c r="J116" s="675">
        <f>+'Financial Model'!J24</f>
        <v/>
      </c>
      <c r="K116" s="675">
        <f>+'Financial Model'!K24</f>
        <v/>
      </c>
      <c r="L116" s="675">
        <f>+'Financial Model'!L24</f>
        <v/>
      </c>
      <c r="M116" s="675">
        <f>+'Financial Model'!M24</f>
        <v/>
      </c>
      <c r="N116" s="675">
        <f>+'Financial Model'!N24</f>
        <v/>
      </c>
      <c r="O116" s="675">
        <f>+'Financial Model'!O24</f>
        <v/>
      </c>
      <c r="P116" s="675">
        <f>+'Financial Model'!P24</f>
        <v/>
      </c>
      <c r="Q116" s="675">
        <f>+'Financial Model'!Q24</f>
        <v/>
      </c>
      <c r="R116" s="675">
        <f>+'Financial Model'!R24</f>
        <v/>
      </c>
      <c r="S116" s="675">
        <f>+'Financial Model'!S24</f>
        <v/>
      </c>
      <c r="T116" s="675">
        <f>+'Financial Model'!T24</f>
        <v/>
      </c>
    </row>
    <row r="117" outlineLevel="1" ht="14.25" customFormat="1" customHeight="1" s="8">
      <c r="A117" s="7" t="n"/>
      <c r="C117" s="257" t="inlineStr">
        <is>
          <t>% of Operating Expenses</t>
        </is>
      </c>
      <c r="D117" s="94" t="n"/>
      <c r="E117" s="94" t="n"/>
      <c r="F117" s="94" t="n"/>
      <c r="G117" s="135">
        <f>+G114/G116</f>
        <v/>
      </c>
      <c r="H117" s="135">
        <f>+H114/H116</f>
        <v/>
      </c>
      <c r="I117" s="135">
        <f>+I114/I116</f>
        <v/>
      </c>
      <c r="J117" s="135">
        <f>+J114/J116</f>
        <v/>
      </c>
      <c r="K117" s="373">
        <f>$J$117</f>
        <v/>
      </c>
      <c r="L117" s="373">
        <f>$J$117</f>
        <v/>
      </c>
      <c r="M117" s="373">
        <f>$J$117</f>
        <v/>
      </c>
      <c r="N117" s="373">
        <f>$J$117</f>
        <v/>
      </c>
      <c r="O117" s="373">
        <f>$J$117</f>
        <v/>
      </c>
      <c r="P117" s="373">
        <f>$J$117</f>
        <v/>
      </c>
      <c r="Q117" s="373">
        <f>$J$117</f>
        <v/>
      </c>
      <c r="R117" s="373">
        <f>$J$117</f>
        <v/>
      </c>
      <c r="S117" s="373">
        <f>$J$117</f>
        <v/>
      </c>
      <c r="T117" s="373">
        <f>$J$117</f>
        <v/>
      </c>
    </row>
    <row r="118" outlineLevel="1" ht="14.25" customFormat="1" customHeight="1" s="8">
      <c r="A118" s="7" t="n"/>
      <c r="C118" s="245" t="n"/>
      <c r="D118" s="94" t="n"/>
      <c r="E118" s="94" t="n"/>
      <c r="F118" s="94" t="n"/>
      <c r="G118" s="246" t="n"/>
      <c r="H118" s="247" t="n"/>
      <c r="I118" s="247" t="n"/>
      <c r="J118" s="247" t="n"/>
      <c r="K118" s="247" t="n"/>
      <c r="L118" s="247" t="n"/>
      <c r="M118" s="247" t="n"/>
      <c r="N118" s="247" t="n"/>
      <c r="O118" s="247" t="n"/>
      <c r="P118" s="247" t="n"/>
      <c r="Q118" s="247" t="n"/>
      <c r="R118" s="247" t="n"/>
      <c r="S118" s="247" t="n"/>
      <c r="T118" s="247" t="n"/>
    </row>
    <row r="119" outlineLevel="1" ht="14.25" customFormat="1" customHeight="1" s="8">
      <c r="A119" s="7" t="n"/>
      <c r="C119" s="371">
        <f>'Financial Model'!$C$71</f>
        <v/>
      </c>
      <c r="D119" s="244" t="n"/>
      <c r="E119" s="244" t="n"/>
      <c r="F119" s="244" t="n"/>
      <c r="G119" s="725">
        <f>+'Financial Model'!G71</f>
        <v/>
      </c>
      <c r="H119" s="725">
        <f>+'Financial Model'!H71</f>
        <v/>
      </c>
      <c r="I119" s="725">
        <f>+'Financial Model'!I71</f>
        <v/>
      </c>
      <c r="J119" s="725">
        <f>+'Financial Model'!J71</f>
        <v/>
      </c>
      <c r="K119" s="678">
        <f>+K121*K122</f>
        <v/>
      </c>
      <c r="L119" s="678">
        <f>+L121*L122</f>
        <v/>
      </c>
      <c r="M119" s="678">
        <f>+M121*M122</f>
        <v/>
      </c>
      <c r="N119" s="678">
        <f>+N121*N122</f>
        <v/>
      </c>
      <c r="O119" s="678">
        <f>+O121*O122</f>
        <v/>
      </c>
      <c r="P119" s="678">
        <f>+P121*P122</f>
        <v/>
      </c>
      <c r="Q119" s="678">
        <f>+Q121*Q122</f>
        <v/>
      </c>
      <c r="R119" s="678">
        <f>+R121*R122</f>
        <v/>
      </c>
      <c r="S119" s="678">
        <f>+S121*S122</f>
        <v/>
      </c>
      <c r="T119" s="678">
        <f>+T121*T122</f>
        <v/>
      </c>
    </row>
    <row r="120" outlineLevel="1" ht="5.2" customFormat="1" customHeight="1" s="8">
      <c r="A120" s="7" t="n"/>
      <c r="C120" s="245" t="n"/>
      <c r="D120" s="94" t="n"/>
      <c r="E120" s="94" t="n"/>
      <c r="F120" s="94" t="n"/>
      <c r="G120" s="246" t="n"/>
      <c r="H120" s="247" t="n"/>
      <c r="I120" s="247" t="n"/>
      <c r="J120" s="247" t="n"/>
      <c r="K120" s="247" t="n"/>
      <c r="L120" s="247" t="n"/>
      <c r="M120" s="247" t="n"/>
      <c r="N120" s="247" t="n"/>
      <c r="O120" s="247" t="n"/>
      <c r="P120" s="247" t="n"/>
      <c r="Q120" s="247" t="n"/>
      <c r="R120" s="247" t="n"/>
      <c r="S120" s="247" t="n"/>
      <c r="T120" s="247" t="n"/>
    </row>
    <row r="121" outlineLevel="1" ht="14.25" customFormat="1" customHeight="1" s="8">
      <c r="A121" s="7" t="n"/>
      <c r="C121" s="257" t="inlineStr">
        <is>
          <t>Total Revenue</t>
        </is>
      </c>
      <c r="D121" s="94" t="n"/>
      <c r="E121" s="94" t="n"/>
      <c r="F121" s="94" t="n"/>
      <c r="G121" s="675">
        <f>+'Financial Model'!G$9</f>
        <v/>
      </c>
      <c r="H121" s="675">
        <f>+'Financial Model'!H$9</f>
        <v/>
      </c>
      <c r="I121" s="675">
        <f>+'Financial Model'!I$9</f>
        <v/>
      </c>
      <c r="J121" s="675">
        <f>+'Financial Model'!J$9</f>
        <v/>
      </c>
      <c r="K121" s="675">
        <f>+'Financial Model'!K$9</f>
        <v/>
      </c>
      <c r="L121" s="675">
        <f>+'Financial Model'!L$9</f>
        <v/>
      </c>
      <c r="M121" s="675">
        <f>+'Financial Model'!M$9</f>
        <v/>
      </c>
      <c r="N121" s="675">
        <f>+'Financial Model'!N$9</f>
        <v/>
      </c>
      <c r="O121" s="675">
        <f>+'Financial Model'!O$9</f>
        <v/>
      </c>
      <c r="P121" s="675">
        <f>+'Financial Model'!P$9</f>
        <v/>
      </c>
      <c r="Q121" s="675">
        <f>+'Financial Model'!Q$9</f>
        <v/>
      </c>
      <c r="R121" s="675">
        <f>+'Financial Model'!R$9</f>
        <v/>
      </c>
      <c r="S121" s="675">
        <f>+'Financial Model'!S$9</f>
        <v/>
      </c>
      <c r="T121" s="675">
        <f>+'Financial Model'!T$9</f>
        <v/>
      </c>
    </row>
    <row r="122" outlineLevel="1" ht="14.25" customFormat="1" customHeight="1" s="8">
      <c r="A122" s="7" t="n"/>
      <c r="C122" s="257" t="inlineStr">
        <is>
          <t>% of Total Revenue</t>
        </is>
      </c>
      <c r="D122" s="94" t="n"/>
      <c r="E122" s="94" t="n"/>
      <c r="F122" s="94" t="n"/>
      <c r="G122" s="135">
        <f>+G119/G121</f>
        <v/>
      </c>
      <c r="H122" s="135">
        <f>+H119/H121</f>
        <v/>
      </c>
      <c r="I122" s="135">
        <f>+I119/I121</f>
        <v/>
      </c>
      <c r="J122" s="135">
        <f>+J119/J121</f>
        <v/>
      </c>
      <c r="K122" s="373">
        <f>$J$122</f>
        <v/>
      </c>
      <c r="L122" s="373">
        <f>$J$122</f>
        <v/>
      </c>
      <c r="M122" s="373">
        <f>$J$122</f>
        <v/>
      </c>
      <c r="N122" s="373">
        <f>$J$122</f>
        <v/>
      </c>
      <c r="O122" s="373">
        <f>$J$122</f>
        <v/>
      </c>
      <c r="P122" s="373">
        <f>$J$122</f>
        <v/>
      </c>
      <c r="Q122" s="373">
        <f>$J$122</f>
        <v/>
      </c>
      <c r="R122" s="373">
        <f>$J$122</f>
        <v/>
      </c>
      <c r="S122" s="373">
        <f>$J$122</f>
        <v/>
      </c>
      <c r="T122" s="373">
        <f>$J$122</f>
        <v/>
      </c>
    </row>
    <row r="123" outlineLevel="1" ht="14.25" customFormat="1" customHeight="1" s="8">
      <c r="A123" s="7" t="n"/>
      <c r="C123" s="245" t="n"/>
      <c r="D123" s="94" t="n"/>
      <c r="E123" s="94" t="n"/>
      <c r="F123" s="94" t="n"/>
      <c r="G123" s="246" t="n"/>
      <c r="H123" s="247" t="n"/>
      <c r="I123" s="247" t="n"/>
      <c r="J123" s="247" t="n"/>
      <c r="K123" s="247" t="n"/>
      <c r="L123" s="247" t="n"/>
      <c r="M123" s="247" t="n"/>
      <c r="N123" s="247" t="n"/>
      <c r="O123" s="247" t="n"/>
      <c r="P123" s="247" t="n"/>
      <c r="Q123" s="247" t="n"/>
      <c r="R123" s="247" t="n"/>
      <c r="S123" s="247" t="n"/>
      <c r="T123" s="247" t="n"/>
    </row>
    <row r="124" outlineLevel="1" ht="14.25" customFormat="1" customHeight="1" s="8">
      <c r="A124" s="7" t="n"/>
      <c r="C124" s="371">
        <f>'Financial Model'!$C$72</f>
        <v/>
      </c>
      <c r="D124" s="244" t="n"/>
      <c r="E124" s="244" t="n"/>
      <c r="F124" s="244" t="n"/>
      <c r="G124" s="725">
        <f>+'Financial Model'!G72</f>
        <v/>
      </c>
      <c r="H124" s="725">
        <f>+'Financial Model'!H72</f>
        <v/>
      </c>
      <c r="I124" s="725">
        <f>+'Financial Model'!I72</f>
        <v/>
      </c>
      <c r="J124" s="725">
        <f>+'Financial Model'!J72</f>
        <v/>
      </c>
      <c r="K124" s="678">
        <f>+K126*K127</f>
        <v/>
      </c>
      <c r="L124" s="678">
        <f>+L126*L127</f>
        <v/>
      </c>
      <c r="M124" s="678">
        <f>+M126*M127</f>
        <v/>
      </c>
      <c r="N124" s="678">
        <f>+N126*N127</f>
        <v/>
      </c>
      <c r="O124" s="678">
        <f>+O126*O127</f>
        <v/>
      </c>
      <c r="P124" s="678">
        <f>+P126*P127</f>
        <v/>
      </c>
      <c r="Q124" s="678">
        <f>+Q126*Q127</f>
        <v/>
      </c>
      <c r="R124" s="678">
        <f>+R126*R127</f>
        <v/>
      </c>
      <c r="S124" s="678">
        <f>+S126*S127</f>
        <v/>
      </c>
      <c r="T124" s="678">
        <f>+T126*T127</f>
        <v/>
      </c>
    </row>
    <row r="125" outlineLevel="1" ht="5.2" customFormat="1" customHeight="1" s="8">
      <c r="A125" s="7" t="n"/>
      <c r="C125" s="245" t="n"/>
      <c r="D125" s="94" t="n"/>
      <c r="E125" s="94" t="n"/>
      <c r="F125" s="94" t="n"/>
      <c r="G125" s="246" t="n"/>
      <c r="H125" s="247" t="n"/>
      <c r="I125" s="247" t="n"/>
      <c r="J125" s="247" t="n"/>
      <c r="K125" s="247" t="n"/>
      <c r="L125" s="247" t="n"/>
      <c r="M125" s="247" t="n"/>
      <c r="N125" s="247" t="n"/>
      <c r="O125" s="247" t="n"/>
      <c r="P125" s="247" t="n"/>
      <c r="Q125" s="247" t="n"/>
      <c r="R125" s="247" t="n"/>
      <c r="S125" s="247" t="n"/>
      <c r="T125" s="247" t="n"/>
    </row>
    <row r="126" outlineLevel="1" ht="14.25" customFormat="1" customHeight="1" s="8">
      <c r="A126" s="7" t="n"/>
      <c r="C126" s="257" t="inlineStr">
        <is>
          <t>Total Revenue</t>
        </is>
      </c>
      <c r="D126" s="94" t="n"/>
      <c r="E126" s="94" t="n"/>
      <c r="F126" s="94" t="n"/>
      <c r="G126" s="675">
        <f>+'Financial Model'!G$9</f>
        <v/>
      </c>
      <c r="H126" s="675">
        <f>+'Financial Model'!H$9</f>
        <v/>
      </c>
      <c r="I126" s="675">
        <f>+'Financial Model'!I$9</f>
        <v/>
      </c>
      <c r="J126" s="675">
        <f>+'Financial Model'!J$9</f>
        <v/>
      </c>
      <c r="K126" s="675">
        <f>+'Financial Model'!K$9</f>
        <v/>
      </c>
      <c r="L126" s="675">
        <f>+'Financial Model'!L$9</f>
        <v/>
      </c>
      <c r="M126" s="675">
        <f>+'Financial Model'!M$9</f>
        <v/>
      </c>
      <c r="N126" s="675">
        <f>+'Financial Model'!N$9</f>
        <v/>
      </c>
      <c r="O126" s="675">
        <f>+'Financial Model'!O$9</f>
        <v/>
      </c>
      <c r="P126" s="675">
        <f>+'Financial Model'!P$9</f>
        <v/>
      </c>
      <c r="Q126" s="675">
        <f>+'Financial Model'!Q$9</f>
        <v/>
      </c>
      <c r="R126" s="675">
        <f>+'Financial Model'!R$9</f>
        <v/>
      </c>
      <c r="S126" s="675">
        <f>+'Financial Model'!S$9</f>
        <v/>
      </c>
      <c r="T126" s="675">
        <f>+'Financial Model'!T$9</f>
        <v/>
      </c>
    </row>
    <row r="127" outlineLevel="1" ht="14.25" customFormat="1" customHeight="1" s="8">
      <c r="A127" s="7" t="n"/>
      <c r="C127" s="257" t="inlineStr">
        <is>
          <t>% of Total Revenue</t>
        </is>
      </c>
      <c r="D127" s="94" t="n"/>
      <c r="E127" s="94" t="n"/>
      <c r="F127" s="94" t="n"/>
      <c r="G127" s="135">
        <f>+G124/G126</f>
        <v/>
      </c>
      <c r="H127" s="135">
        <f>+H124/H126</f>
        <v/>
      </c>
      <c r="I127" s="135">
        <f>+I124/I126</f>
        <v/>
      </c>
      <c r="J127" s="135">
        <f>+J124/J126</f>
        <v/>
      </c>
      <c r="K127" s="373">
        <f>$J$127</f>
        <v/>
      </c>
      <c r="L127" s="373">
        <f>$J$127</f>
        <v/>
      </c>
      <c r="M127" s="373">
        <f>$J$127</f>
        <v/>
      </c>
      <c r="N127" s="373">
        <f>$J$127</f>
        <v/>
      </c>
      <c r="O127" s="373">
        <f>$J$127</f>
        <v/>
      </c>
      <c r="P127" s="373">
        <f>$J$127</f>
        <v/>
      </c>
      <c r="Q127" s="373">
        <f>$J$127</f>
        <v/>
      </c>
      <c r="R127" s="373">
        <f>$J$127</f>
        <v/>
      </c>
      <c r="S127" s="373">
        <f>$J$127</f>
        <v/>
      </c>
      <c r="T127" s="373">
        <f>$J$127</f>
        <v/>
      </c>
    </row>
    <row r="128" outlineLevel="1" ht="14.25" customFormat="1" customHeight="1" s="8">
      <c r="A128" s="7" t="n"/>
      <c r="C128" s="245" t="n"/>
      <c r="D128" s="94" t="n"/>
      <c r="E128" s="94" t="n"/>
      <c r="F128" s="94" t="n"/>
      <c r="G128" s="246" t="n"/>
      <c r="H128" s="247" t="n"/>
      <c r="I128" s="247" t="n"/>
      <c r="J128" s="247" t="n"/>
      <c r="K128" s="247" t="n"/>
      <c r="L128" s="247" t="n"/>
      <c r="M128" s="247" t="n"/>
      <c r="N128" s="247" t="n"/>
      <c r="O128" s="247" t="n"/>
      <c r="P128" s="247" t="n"/>
      <c r="Q128" s="247" t="n"/>
      <c r="R128" s="247" t="n"/>
      <c r="S128" s="247" t="n"/>
      <c r="T128" s="247" t="n"/>
    </row>
    <row r="129" outlineLevel="1" ht="14.25" customFormat="1" customHeight="1" s="8">
      <c r="A129" s="7" t="n"/>
      <c r="C129" s="371">
        <f>'Financial Model'!$C$77</f>
        <v/>
      </c>
      <c r="D129" s="244" t="n"/>
      <c r="E129" s="244" t="n"/>
      <c r="F129" s="244" t="n"/>
      <c r="G129" s="725">
        <f>+'Financial Model'!G77</f>
        <v/>
      </c>
      <c r="H129" s="725">
        <f>+'Financial Model'!H77</f>
        <v/>
      </c>
      <c r="I129" s="725">
        <f>+'Financial Model'!I77</f>
        <v/>
      </c>
      <c r="J129" s="725">
        <f>+'Financial Model'!J77</f>
        <v/>
      </c>
      <c r="K129" s="678">
        <f>+K131*K132</f>
        <v/>
      </c>
      <c r="L129" s="678">
        <f>+L131*L132</f>
        <v/>
      </c>
      <c r="M129" s="678">
        <f>+M131*M132</f>
        <v/>
      </c>
      <c r="N129" s="678">
        <f>+N131*N132</f>
        <v/>
      </c>
      <c r="O129" s="678">
        <f>+O131*O132</f>
        <v/>
      </c>
      <c r="P129" s="678">
        <f>+P131*P132</f>
        <v/>
      </c>
      <c r="Q129" s="678">
        <f>+Q131*Q132</f>
        <v/>
      </c>
      <c r="R129" s="678">
        <f>+R131*R132</f>
        <v/>
      </c>
      <c r="S129" s="678">
        <f>+S131*S132</f>
        <v/>
      </c>
      <c r="T129" s="678">
        <f>+T131*T132</f>
        <v/>
      </c>
    </row>
    <row r="130" outlineLevel="1" ht="5.2" customFormat="1" customHeight="1" s="8">
      <c r="A130" s="7" t="n"/>
      <c r="C130" s="245" t="n"/>
      <c r="D130" s="94" t="n"/>
      <c r="E130" s="94" t="n"/>
      <c r="F130" s="94" t="n"/>
      <c r="G130" s="246" t="n"/>
      <c r="H130" s="247" t="n"/>
      <c r="I130" s="247" t="n"/>
      <c r="J130" s="247" t="n"/>
      <c r="K130" s="247" t="n"/>
      <c r="L130" s="247" t="n"/>
      <c r="M130" s="247" t="n"/>
      <c r="N130" s="247" t="n"/>
      <c r="O130" s="247" t="n"/>
      <c r="P130" s="247" t="n"/>
      <c r="Q130" s="247" t="n"/>
      <c r="R130" s="247" t="n"/>
      <c r="S130" s="247" t="n"/>
      <c r="T130" s="247" t="n"/>
    </row>
    <row r="131" outlineLevel="1" ht="14.25" customFormat="1" customHeight="1" s="8">
      <c r="A131" s="7" t="n"/>
      <c r="C131" s="257" t="inlineStr">
        <is>
          <t>Total Revenue</t>
        </is>
      </c>
      <c r="D131" s="94" t="n"/>
      <c r="E131" s="94" t="n"/>
      <c r="F131" s="94" t="n"/>
      <c r="G131" s="675">
        <f>+'Financial Model'!G$9</f>
        <v/>
      </c>
      <c r="H131" s="675">
        <f>+'Financial Model'!H$9</f>
        <v/>
      </c>
      <c r="I131" s="675">
        <f>+'Financial Model'!I$9</f>
        <v/>
      </c>
      <c r="J131" s="675">
        <f>+'Financial Model'!J$9</f>
        <v/>
      </c>
      <c r="K131" s="675">
        <f>+'Financial Model'!K$9</f>
        <v/>
      </c>
      <c r="L131" s="675">
        <f>+'Financial Model'!L$9</f>
        <v/>
      </c>
      <c r="M131" s="675">
        <f>+'Financial Model'!M$9</f>
        <v/>
      </c>
      <c r="N131" s="675">
        <f>+'Financial Model'!N$9</f>
        <v/>
      </c>
      <c r="O131" s="675">
        <f>+'Financial Model'!O$9</f>
        <v/>
      </c>
      <c r="P131" s="675">
        <f>+'Financial Model'!P$9</f>
        <v/>
      </c>
      <c r="Q131" s="675">
        <f>+'Financial Model'!Q$9</f>
        <v/>
      </c>
      <c r="R131" s="675">
        <f>+'Financial Model'!R$9</f>
        <v/>
      </c>
      <c r="S131" s="675">
        <f>+'Financial Model'!S$9</f>
        <v/>
      </c>
      <c r="T131" s="675">
        <f>+'Financial Model'!T$9</f>
        <v/>
      </c>
    </row>
    <row r="132" outlineLevel="1" ht="14.25" customFormat="1" customHeight="1" s="8">
      <c r="A132" s="7" t="n"/>
      <c r="C132" s="257" t="inlineStr">
        <is>
          <t>% of Total Revenue</t>
        </is>
      </c>
      <c r="D132" s="94" t="n"/>
      <c r="E132" s="94" t="n"/>
      <c r="F132" s="94" t="n"/>
      <c r="G132" s="135">
        <f>+G129/G131</f>
        <v/>
      </c>
      <c r="H132" s="135">
        <f>+H129/H131</f>
        <v/>
      </c>
      <c r="I132" s="135">
        <f>+I129/I131</f>
        <v/>
      </c>
      <c r="J132" s="135">
        <f>+J129/J131</f>
        <v/>
      </c>
      <c r="K132" s="373">
        <f>$J$132</f>
        <v/>
      </c>
      <c r="L132" s="373">
        <f>$J$132</f>
        <v/>
      </c>
      <c r="M132" s="373">
        <f>$J$132</f>
        <v/>
      </c>
      <c r="N132" s="373">
        <f>$J$132</f>
        <v/>
      </c>
      <c r="O132" s="373">
        <f>$J$132</f>
        <v/>
      </c>
      <c r="P132" s="373">
        <f>$J$132</f>
        <v/>
      </c>
      <c r="Q132" s="373">
        <f>$J$132</f>
        <v/>
      </c>
      <c r="R132" s="373">
        <f>$J$132</f>
        <v/>
      </c>
      <c r="S132" s="373">
        <f>$J$132</f>
        <v/>
      </c>
      <c r="T132" s="373">
        <f>$J$132</f>
        <v/>
      </c>
    </row>
    <row r="133" outlineLevel="1" ht="14.25" customFormat="1" customHeight="1" s="8" thickBot="1">
      <c r="A133" s="7" t="n"/>
      <c r="C133" s="249" t="n"/>
      <c r="D133" s="250" t="n"/>
      <c r="E133" s="250" t="n"/>
      <c r="F133" s="250" t="n"/>
      <c r="G133" s="251" t="n"/>
      <c r="H133" s="252" t="n"/>
      <c r="I133" s="252" t="n"/>
      <c r="J133" s="252" t="n"/>
      <c r="K133" s="252" t="n"/>
      <c r="L133" s="252" t="n"/>
      <c r="M133" s="252" t="n"/>
      <c r="N133" s="252" t="n"/>
      <c r="O133" s="252" t="n"/>
      <c r="P133" s="252" t="n"/>
      <c r="Q133" s="252" t="n"/>
      <c r="R133" s="252" t="n"/>
      <c r="S133" s="252" t="n"/>
      <c r="T133" s="252" t="n"/>
    </row>
    <row r="134" outlineLevel="1" ht="14.25" customFormat="1" customHeight="1" s="8">
      <c r="A134" s="7" t="n"/>
      <c r="C134" s="245" t="n"/>
      <c r="D134" s="94" t="n"/>
      <c r="E134" s="94" t="n"/>
      <c r="F134" s="94" t="n"/>
      <c r="G134" s="246" t="n"/>
      <c r="H134" s="247" t="n"/>
      <c r="I134" s="247" t="n"/>
      <c r="J134" s="247" t="n"/>
      <c r="K134" s="247" t="n"/>
      <c r="L134" s="247" t="n"/>
      <c r="M134" s="247" t="n"/>
      <c r="N134" s="247" t="n"/>
      <c r="O134" s="247" t="n"/>
      <c r="P134" s="247" t="n"/>
      <c r="Q134" s="247" t="n"/>
      <c r="R134" s="247" t="n"/>
      <c r="S134" s="247" t="n"/>
      <c r="T134" s="247" t="n"/>
    </row>
    <row r="135" outlineLevel="1" ht="14.25" customFormat="1" customHeight="1" s="8">
      <c r="A135" s="7" t="n"/>
      <c r="C135" s="371">
        <f>'Financial Model'!$C$75</f>
        <v/>
      </c>
      <c r="D135" s="244" t="n"/>
      <c r="E135" s="244" t="n"/>
      <c r="F135" s="244" t="n"/>
      <c r="G135" s="725">
        <f>+'Financial Model'!G75</f>
        <v/>
      </c>
      <c r="H135" s="725">
        <f>+'Financial Model'!H75</f>
        <v/>
      </c>
      <c r="I135" s="725">
        <f>+'Financial Model'!I75</f>
        <v/>
      </c>
      <c r="J135" s="725">
        <f>+'Financial Model'!J75</f>
        <v/>
      </c>
      <c r="K135" s="678">
        <f>SUM(K137:K138)</f>
        <v/>
      </c>
      <c r="L135" s="678">
        <f>SUM(L137:L138)</f>
        <v/>
      </c>
      <c r="M135" s="678">
        <f>SUM(M137:M138)</f>
        <v/>
      </c>
      <c r="N135" s="678">
        <f>SUM(N137:N138)</f>
        <v/>
      </c>
      <c r="O135" s="678">
        <f>SUM(O137:O138)</f>
        <v/>
      </c>
      <c r="P135" s="678">
        <f>SUM(P137:P138)</f>
        <v/>
      </c>
      <c r="Q135" s="678">
        <f>SUM(Q137:Q138)</f>
        <v/>
      </c>
      <c r="R135" s="678">
        <f>SUM(R137:R138)</f>
        <v/>
      </c>
      <c r="S135" s="678">
        <f>SUM(S137:S138)</f>
        <v/>
      </c>
      <c r="T135" s="678">
        <f>SUM(T137:T138)</f>
        <v/>
      </c>
    </row>
    <row r="136" outlineLevel="1" ht="5.2" customFormat="1" customHeight="1" s="8">
      <c r="A136" s="7" t="n"/>
      <c r="C136" s="245" t="n"/>
      <c r="D136" s="94" t="n"/>
      <c r="E136" s="94" t="n"/>
      <c r="F136" s="94" t="n"/>
      <c r="G136" s="246" t="n"/>
      <c r="H136" s="247" t="n"/>
      <c r="I136" s="247" t="n"/>
      <c r="J136" s="247" t="n"/>
      <c r="K136" s="247" t="n"/>
      <c r="L136" s="247" t="n"/>
      <c r="M136" s="247" t="n"/>
      <c r="N136" s="247" t="n"/>
      <c r="O136" s="247" t="n"/>
      <c r="P136" s="247" t="n"/>
      <c r="Q136" s="247" t="n"/>
      <c r="R136" s="247" t="n"/>
      <c r="S136" s="247" t="n"/>
      <c r="T136" s="247" t="n"/>
    </row>
    <row r="137" outlineLevel="1" ht="14.25" customFormat="1" customHeight="1" s="8">
      <c r="A137" s="7" t="n"/>
      <c r="C137" s="257" t="inlineStr">
        <is>
          <t>Beginning Revolver Balance</t>
        </is>
      </c>
      <c r="D137" s="94" t="n"/>
      <c r="E137" s="94" t="n"/>
      <c r="F137" s="94" t="n"/>
      <c r="G137" s="256" t="n"/>
      <c r="H137" s="256" t="n"/>
      <c r="I137" s="256" t="n"/>
      <c r="J137" s="256" t="n"/>
      <c r="K137" s="700">
        <f>+J135</f>
        <v/>
      </c>
      <c r="L137" s="700">
        <f>+K135</f>
        <v/>
      </c>
      <c r="M137" s="700">
        <f>+L135</f>
        <v/>
      </c>
      <c r="N137" s="700">
        <f>+M135</f>
        <v/>
      </c>
      <c r="O137" s="700">
        <f>+N135</f>
        <v/>
      </c>
      <c r="P137" s="700">
        <f>+O135</f>
        <v/>
      </c>
      <c r="Q137" s="700">
        <f>+P135</f>
        <v/>
      </c>
      <c r="R137" s="700">
        <f>+Q135</f>
        <v/>
      </c>
      <c r="S137" s="700">
        <f>+R135</f>
        <v/>
      </c>
      <c r="T137" s="700">
        <f>+S135</f>
        <v/>
      </c>
    </row>
    <row r="138" outlineLevel="1" ht="14.25" customFormat="1" customHeight="1" s="8">
      <c r="A138" s="7" t="n"/>
      <c r="C138" s="257" t="inlineStr">
        <is>
          <t>Borrowings (Paydowns)</t>
        </is>
      </c>
      <c r="D138" s="94" t="n"/>
      <c r="E138" s="94" t="n"/>
      <c r="F138" s="94" t="n"/>
      <c r="G138" s="256" t="n"/>
      <c r="H138" s="256" t="n"/>
      <c r="I138" s="256" t="n"/>
      <c r="J138" s="256" t="n"/>
      <c r="K138" s="734" t="n">
        <v>0</v>
      </c>
      <c r="L138" s="734" t="n">
        <v>0</v>
      </c>
      <c r="M138" s="734" t="n">
        <v>0</v>
      </c>
      <c r="N138" s="734" t="n">
        <v>0</v>
      </c>
      <c r="O138" s="734" t="n">
        <v>0</v>
      </c>
      <c r="P138" s="734" t="n">
        <v>0</v>
      </c>
      <c r="Q138" s="734" t="n">
        <v>0</v>
      </c>
      <c r="R138" s="734" t="n">
        <v>0</v>
      </c>
      <c r="S138" s="734" t="n">
        <v>0</v>
      </c>
      <c r="T138" s="734" t="n">
        <v>0</v>
      </c>
    </row>
    <row r="139" outlineLevel="1" ht="14.25" customFormat="1" customHeight="1" s="8">
      <c r="A139" s="7" t="n"/>
      <c r="C139" s="245" t="n"/>
      <c r="D139" s="94" t="n"/>
      <c r="E139" s="94" t="n"/>
      <c r="F139" s="94" t="n"/>
      <c r="G139" s="246" t="n"/>
      <c r="H139" s="247" t="n"/>
      <c r="I139" s="247" t="n"/>
      <c r="J139" s="247" t="n"/>
      <c r="K139" s="247" t="n"/>
      <c r="L139" s="247" t="n"/>
      <c r="M139" s="247" t="n"/>
      <c r="N139" s="247" t="n"/>
      <c r="O139" s="247" t="n"/>
      <c r="P139" s="247" t="n"/>
      <c r="Q139" s="247" t="n"/>
      <c r="R139" s="247" t="n"/>
      <c r="S139" s="247" t="n"/>
      <c r="T139" s="247" t="n"/>
    </row>
    <row r="140" outlineLevel="1" ht="14.25" customFormat="1" customHeight="1" s="8">
      <c r="A140" s="7" t="n"/>
      <c r="C140" s="371">
        <f>'Financial Model'!$C$76</f>
        <v/>
      </c>
      <c r="D140" s="244" t="n"/>
      <c r="E140" s="244" t="n"/>
      <c r="F140" s="244" t="n"/>
      <c r="G140" s="725">
        <f>+'Financial Model'!G76</f>
        <v/>
      </c>
      <c r="H140" s="725">
        <f>+'Financial Model'!H76</f>
        <v/>
      </c>
      <c r="I140" s="725">
        <f>+'Financial Model'!I76</f>
        <v/>
      </c>
      <c r="J140" s="725">
        <f>+'Financial Model'!J76</f>
        <v/>
      </c>
      <c r="K140" s="678">
        <f>SUM(K142:K145)</f>
        <v/>
      </c>
      <c r="L140" s="678">
        <f>SUM(L142:L145)</f>
        <v/>
      </c>
      <c r="M140" s="678">
        <f>SUM(M142:M145)</f>
        <v/>
      </c>
      <c r="N140" s="678">
        <f>SUM(N142:N145)</f>
        <v/>
      </c>
      <c r="O140" s="678">
        <f>SUM(O142:O145)</f>
        <v/>
      </c>
      <c r="P140" s="678">
        <f>SUM(P142:P145)</f>
        <v/>
      </c>
      <c r="Q140" s="678">
        <f>SUM(Q142:Q145)</f>
        <v/>
      </c>
      <c r="R140" s="678">
        <f>SUM(R142:R145)</f>
        <v/>
      </c>
      <c r="S140" s="678">
        <f>SUM(S142:S145)</f>
        <v/>
      </c>
      <c r="T140" s="678">
        <f>SUM(T142:T145)</f>
        <v/>
      </c>
    </row>
    <row r="141" outlineLevel="1" ht="5.2" customFormat="1" customHeight="1" s="8">
      <c r="A141" s="7" t="n"/>
      <c r="C141" s="245" t="n"/>
      <c r="D141" s="94" t="n"/>
      <c r="E141" s="94" t="n"/>
      <c r="F141" s="94" t="n"/>
      <c r="G141" s="246" t="n"/>
      <c r="H141" s="247" t="n"/>
      <c r="I141" s="247" t="n"/>
      <c r="J141" s="247" t="n"/>
      <c r="K141" s="247" t="n"/>
      <c r="L141" s="247" t="n"/>
      <c r="M141" s="247" t="n"/>
      <c r="N141" s="247" t="n"/>
      <c r="O141" s="247" t="n"/>
      <c r="P141" s="247" t="n"/>
      <c r="Q141" s="247" t="n"/>
      <c r="R141" s="247" t="n"/>
      <c r="S141" s="247" t="n"/>
      <c r="T141" s="247" t="n"/>
    </row>
    <row r="142" outlineLevel="1" ht="14.25" customFormat="1" customHeight="1" s="8">
      <c r="A142" s="7" t="n"/>
      <c r="C142" s="257" t="inlineStr">
        <is>
          <t>Beginning Term Loan Balance</t>
        </is>
      </c>
      <c r="D142" s="94" t="n"/>
      <c r="E142" s="94" t="n"/>
      <c r="F142" s="94" t="n"/>
      <c r="G142" s="256" t="n"/>
      <c r="H142" s="256" t="n"/>
      <c r="I142" s="256" t="n"/>
      <c r="J142" s="256" t="n"/>
      <c r="K142" s="700">
        <f>+J140</f>
        <v/>
      </c>
      <c r="L142" s="700">
        <f>+K140</f>
        <v/>
      </c>
      <c r="M142" s="700">
        <f>+L140</f>
        <v/>
      </c>
      <c r="N142" s="700">
        <f>+M140</f>
        <v/>
      </c>
      <c r="O142" s="700">
        <f>+N140</f>
        <v/>
      </c>
      <c r="P142" s="700">
        <f>+O140</f>
        <v/>
      </c>
      <c r="Q142" s="700">
        <f>+P140</f>
        <v/>
      </c>
      <c r="R142" s="700">
        <f>+Q140</f>
        <v/>
      </c>
      <c r="S142" s="700">
        <f>+R140</f>
        <v/>
      </c>
      <c r="T142" s="700">
        <f>+S140</f>
        <v/>
      </c>
    </row>
    <row r="143" outlineLevel="1" ht="14.25" customFormat="1" customHeight="1" s="8">
      <c r="A143" s="7" t="n"/>
      <c r="C143" s="257" t="inlineStr">
        <is>
          <t>Additional Borrowings</t>
        </is>
      </c>
      <c r="D143" s="94" t="n"/>
      <c r="E143" s="94" t="n"/>
      <c r="F143" s="94" t="n"/>
      <c r="G143" s="256" t="n"/>
      <c r="H143" s="256" t="n"/>
      <c r="I143" s="256" t="n"/>
      <c r="J143" s="256" t="n"/>
      <c r="K143" s="734" t="n">
        <v>0</v>
      </c>
      <c r="L143" s="734" t="n">
        <v>0</v>
      </c>
      <c r="M143" s="734" t="n">
        <v>0</v>
      </c>
      <c r="N143" s="734" t="n">
        <v>0</v>
      </c>
      <c r="O143" s="734" t="n">
        <v>0</v>
      </c>
      <c r="P143" s="734" t="n">
        <v>0</v>
      </c>
      <c r="Q143" s="734" t="n">
        <v>0</v>
      </c>
      <c r="R143" s="734" t="n">
        <v>0</v>
      </c>
      <c r="S143" s="734" t="n">
        <v>0</v>
      </c>
      <c r="T143" s="734" t="n">
        <v>0</v>
      </c>
    </row>
    <row r="144" outlineLevel="1" ht="14.25" customFormat="1" customHeight="1" s="8">
      <c r="A144" s="7" t="n"/>
      <c r="C144" s="257" t="inlineStr">
        <is>
          <t>(Mandatory Amortization)</t>
        </is>
      </c>
      <c r="D144" s="94" t="n"/>
      <c r="E144" s="94" t="n"/>
      <c r="F144" s="94" t="n"/>
      <c r="G144" s="256" t="n"/>
      <c r="H144" s="256" t="n"/>
      <c r="I144" s="256" t="n"/>
      <c r="J144" s="256" t="n"/>
      <c r="K144" s="734" t="n">
        <v>0</v>
      </c>
      <c r="L144" s="734" t="n">
        <v>0</v>
      </c>
      <c r="M144" s="734" t="n">
        <v>0</v>
      </c>
      <c r="N144" s="734" t="n">
        <v>0</v>
      </c>
      <c r="O144" s="734" t="n">
        <v>0</v>
      </c>
      <c r="P144" s="734" t="n">
        <v>0</v>
      </c>
      <c r="Q144" s="734" t="n">
        <v>0</v>
      </c>
      <c r="R144" s="734" t="n">
        <v>0</v>
      </c>
      <c r="S144" s="734" t="n">
        <v>0</v>
      </c>
      <c r="T144" s="734" t="n">
        <v>0</v>
      </c>
    </row>
    <row r="145" outlineLevel="1" ht="14.25" customFormat="1" customHeight="1" s="8">
      <c r="A145" s="7" t="n"/>
      <c r="C145" s="257" t="inlineStr">
        <is>
          <t>(Prepayments)</t>
        </is>
      </c>
      <c r="D145" s="94" t="n"/>
      <c r="E145" s="94" t="n"/>
      <c r="F145" s="94" t="n"/>
      <c r="G145" s="256" t="n"/>
      <c r="H145" s="256" t="n"/>
      <c r="I145" s="256" t="n"/>
      <c r="J145" s="256" t="n"/>
      <c r="K145" s="734" t="n">
        <v>0</v>
      </c>
      <c r="L145" s="734" t="n">
        <v>0</v>
      </c>
      <c r="M145" s="734" t="n">
        <v>0</v>
      </c>
      <c r="N145" s="734" t="n">
        <v>0</v>
      </c>
      <c r="O145" s="734" t="n">
        <v>0</v>
      </c>
      <c r="P145" s="734" t="n">
        <v>0</v>
      </c>
      <c r="Q145" s="734" t="n">
        <v>0</v>
      </c>
      <c r="R145" s="734" t="n">
        <v>0</v>
      </c>
      <c r="S145" s="734" t="n">
        <v>0</v>
      </c>
      <c r="T145" s="734" t="n">
        <v>0</v>
      </c>
    </row>
    <row r="146" outlineLevel="1" ht="14.25" customFormat="1" customHeight="1" s="8" thickBot="1">
      <c r="A146" s="7" t="n"/>
      <c r="C146" s="249" t="n"/>
      <c r="D146" s="250" t="n"/>
      <c r="E146" s="250" t="n"/>
      <c r="F146" s="250" t="n"/>
      <c r="G146" s="251" t="n"/>
      <c r="H146" s="252" t="n"/>
      <c r="I146" s="252" t="n"/>
      <c r="J146" s="252" t="n"/>
      <c r="K146" s="252" t="n"/>
      <c r="L146" s="252" t="n"/>
      <c r="M146" s="252" t="n"/>
      <c r="N146" s="252" t="n"/>
      <c r="O146" s="252" t="n"/>
      <c r="P146" s="252" t="n"/>
      <c r="Q146" s="252" t="n"/>
      <c r="R146" s="252" t="n"/>
      <c r="S146" s="252" t="n"/>
      <c r="T146" s="252" t="n"/>
    </row>
    <row r="147" outlineLevel="1" ht="14.25" customFormat="1" customHeight="1" s="8">
      <c r="A147" s="7" t="n"/>
      <c r="C147" s="245" t="n"/>
      <c r="D147" s="94" t="n"/>
      <c r="E147" s="94" t="n"/>
      <c r="F147" s="94" t="n"/>
      <c r="G147" s="246" t="n"/>
      <c r="H147" s="247" t="n"/>
      <c r="I147" s="247" t="n"/>
      <c r="J147" s="247" t="n"/>
      <c r="K147" s="247" t="n"/>
      <c r="L147" s="247" t="n"/>
      <c r="M147" s="247" t="n"/>
      <c r="N147" s="247" t="n"/>
      <c r="O147" s="247" t="n"/>
      <c r="P147" s="247" t="n"/>
      <c r="Q147" s="247" t="n"/>
      <c r="R147" s="247" t="n"/>
      <c r="S147" s="247" t="n"/>
      <c r="T147" s="247" t="n"/>
    </row>
    <row r="148" outlineLevel="1" ht="14.25" customFormat="1" customHeight="1" s="8">
      <c r="A148" s="7" t="n"/>
      <c r="C148" s="371">
        <f>'Financial Model'!$C$83</f>
        <v/>
      </c>
      <c r="D148" s="244" t="n"/>
      <c r="E148" s="244" t="n"/>
      <c r="F148" s="244" t="n"/>
      <c r="G148" s="725">
        <f>+'Financial Model'!G83</f>
        <v/>
      </c>
      <c r="H148" s="725">
        <f>+'Financial Model'!H83</f>
        <v/>
      </c>
      <c r="I148" s="725">
        <f>+'Financial Model'!I83</f>
        <v/>
      </c>
      <c r="J148" s="725">
        <f>+'Financial Model'!J83</f>
        <v/>
      </c>
      <c r="K148" s="678">
        <f>SUM(K150:K151)</f>
        <v/>
      </c>
      <c r="L148" s="678">
        <f>SUM(L150:L151)</f>
        <v/>
      </c>
      <c r="M148" s="678">
        <f>SUM(M150:M151)</f>
        <v/>
      </c>
      <c r="N148" s="678">
        <f>SUM(N150:N151)</f>
        <v/>
      </c>
      <c r="O148" s="678">
        <f>SUM(O150:O151)</f>
        <v/>
      </c>
      <c r="P148" s="678">
        <f>SUM(P150:P151)</f>
        <v/>
      </c>
      <c r="Q148" s="678">
        <f>SUM(Q150:Q151)</f>
        <v/>
      </c>
      <c r="R148" s="678">
        <f>SUM(R150:R151)</f>
        <v/>
      </c>
      <c r="S148" s="678">
        <f>SUM(S150:S151)</f>
        <v/>
      </c>
      <c r="T148" s="678">
        <f>SUM(T150:T151)</f>
        <v/>
      </c>
    </row>
    <row r="149" outlineLevel="1" ht="5.2" customFormat="1" customHeight="1" s="8">
      <c r="A149" s="7" t="n"/>
      <c r="C149" s="245" t="n"/>
      <c r="D149" s="94" t="n"/>
      <c r="E149" s="94" t="n"/>
      <c r="F149" s="94" t="n"/>
      <c r="G149" s="246" t="n"/>
      <c r="H149" s="247" t="n"/>
      <c r="I149" s="247" t="n"/>
      <c r="J149" s="247" t="n"/>
      <c r="K149" s="247" t="n"/>
      <c r="L149" s="247" t="n"/>
      <c r="M149" s="247" t="n"/>
      <c r="N149" s="247" t="n"/>
      <c r="O149" s="247" t="n"/>
      <c r="P149" s="247" t="n"/>
      <c r="Q149" s="247" t="n"/>
      <c r="R149" s="247" t="n"/>
      <c r="S149" s="247" t="n"/>
      <c r="T149" s="247" t="n"/>
    </row>
    <row r="150" outlineLevel="1" ht="14.25" customFormat="1" customHeight="1" s="8">
      <c r="A150" s="7" t="n"/>
      <c r="C150" s="257" t="inlineStr">
        <is>
          <t>Beginning Other S/E</t>
        </is>
      </c>
      <c r="D150" s="94" t="n"/>
      <c r="E150" s="94" t="n"/>
      <c r="F150" s="94" t="n"/>
      <c r="G150" s="256" t="n"/>
      <c r="H150" s="256" t="n"/>
      <c r="I150" s="256" t="n"/>
      <c r="J150" s="256" t="n"/>
      <c r="K150" s="735">
        <f>+J148</f>
        <v/>
      </c>
      <c r="L150" s="735">
        <f>+K148</f>
        <v/>
      </c>
      <c r="M150" s="735">
        <f>+L148</f>
        <v/>
      </c>
      <c r="N150" s="735">
        <f>+M148</f>
        <v/>
      </c>
      <c r="O150" s="735">
        <f>+N148</f>
        <v/>
      </c>
      <c r="P150" s="735">
        <f>+O148</f>
        <v/>
      </c>
      <c r="Q150" s="735">
        <f>+P148</f>
        <v/>
      </c>
      <c r="R150" s="735">
        <f>+Q148</f>
        <v/>
      </c>
      <c r="S150" s="735">
        <f>+R148</f>
        <v/>
      </c>
      <c r="T150" s="735">
        <f>+S148</f>
        <v/>
      </c>
    </row>
    <row r="151" outlineLevel="1" ht="14.25" customFormat="1" customHeight="1" s="8">
      <c r="A151" s="7" t="n"/>
      <c r="C151" s="257" t="inlineStr">
        <is>
          <t>New S/E</t>
        </is>
      </c>
      <c r="D151" s="94" t="n"/>
      <c r="E151" s="94" t="n"/>
      <c r="F151" s="94" t="n"/>
      <c r="G151" s="256" t="n"/>
      <c r="H151" s="256" t="n"/>
      <c r="I151" s="256" t="n"/>
      <c r="J151" s="256" t="n"/>
      <c r="K151" s="736" t="n">
        <v>0</v>
      </c>
      <c r="L151" s="736" t="n">
        <v>0</v>
      </c>
      <c r="M151" s="736" t="n">
        <v>0</v>
      </c>
      <c r="N151" s="736" t="n">
        <v>0</v>
      </c>
      <c r="O151" s="736" t="n">
        <v>0</v>
      </c>
      <c r="P151" s="736" t="n">
        <v>0</v>
      </c>
      <c r="Q151" s="736" t="n">
        <v>0</v>
      </c>
      <c r="R151" s="736" t="n">
        <v>0</v>
      </c>
      <c r="S151" s="736" t="n">
        <v>0</v>
      </c>
      <c r="T151" s="736" t="n">
        <v>0</v>
      </c>
    </row>
    <row r="152" outlineLevel="1" ht="14.25" customFormat="1" customHeight="1" s="8" thickBot="1">
      <c r="A152" s="7" t="n"/>
      <c r="C152" s="249" t="n"/>
      <c r="D152" s="250" t="n"/>
      <c r="E152" s="250" t="n"/>
      <c r="F152" s="250" t="n"/>
      <c r="G152" s="251" t="n"/>
      <c r="H152" s="252" t="n"/>
      <c r="I152" s="252" t="n"/>
      <c r="J152" s="252" t="n"/>
      <c r="K152" s="252" t="n"/>
      <c r="L152" s="252" t="n"/>
      <c r="M152" s="252" t="n"/>
      <c r="N152" s="252" t="n"/>
      <c r="O152" s="252" t="n"/>
      <c r="P152" s="252" t="n"/>
      <c r="Q152" s="252" t="n"/>
      <c r="R152" s="252" t="n"/>
      <c r="S152" s="252" t="n"/>
      <c r="T152" s="252" t="n"/>
    </row>
    <row r="153" outlineLevel="1" ht="10.05" customFormat="1" customHeight="1" s="8">
      <c r="A153" s="7" t="n"/>
      <c r="C153" s="245" t="n"/>
      <c r="D153" s="94" t="n"/>
      <c r="E153" s="94" t="n"/>
      <c r="F153" s="94" t="n"/>
      <c r="G153" s="246" t="n"/>
      <c r="H153" s="247" t="n"/>
      <c r="I153" s="247" t="n"/>
      <c r="J153" s="247" t="n"/>
      <c r="K153" s="247" t="n"/>
      <c r="L153" s="247" t="n"/>
      <c r="M153" s="247" t="n"/>
      <c r="N153" s="247" t="n"/>
      <c r="O153" s="247" t="n"/>
      <c r="P153" s="247" t="n"/>
      <c r="Q153" s="247" t="n"/>
      <c r="R153" s="247" t="n"/>
      <c r="S153" s="247" t="n"/>
      <c r="T153" s="247" t="n"/>
    </row>
    <row r="154" ht="17.25" customHeight="1">
      <c r="V154" s="359" t="inlineStr">
        <is>
          <t>Notes</t>
        </is>
      </c>
    </row>
    <row r="155" outlineLevel="1" ht="14.55" customFormat="1" customHeight="1" s="8">
      <c r="A155" s="7" t="n"/>
      <c r="C155" s="210">
        <f>Assumptions!G$5</f>
        <v/>
      </c>
      <c r="D155" s="54" t="n"/>
      <c r="E155" s="54" t="n"/>
      <c r="F155" s="54" t="n"/>
      <c r="G155" s="54" t="n"/>
      <c r="H155" s="54" t="n"/>
      <c r="I155" s="54" t="n"/>
      <c r="J155" s="55" t="n"/>
      <c r="K155" s="54" t="n"/>
      <c r="L155" s="54" t="n"/>
      <c r="M155" s="54" t="n"/>
      <c r="N155" s="54" t="n"/>
      <c r="O155" s="54" t="n"/>
      <c r="P155" s="54" t="n"/>
      <c r="Q155" s="54" t="n"/>
      <c r="R155" s="54" t="n"/>
      <c r="S155" s="54" t="n"/>
      <c r="T155" s="55" t="n"/>
    </row>
    <row r="156" outlineLevel="1" ht="14.55" customFormat="1" customHeight="1" s="8">
      <c r="A156" s="7" t="inlineStr">
        <is>
          <t>X</t>
        </is>
      </c>
      <c r="C156" s="210" t="inlineStr">
        <is>
          <t>Cash Flow Statement Drivers</t>
        </is>
      </c>
      <c r="D156" s="54" t="n"/>
      <c r="E156" s="54" t="n"/>
      <c r="F156" s="54" t="n"/>
      <c r="G156" s="54" t="n"/>
      <c r="H156" s="54" t="n"/>
      <c r="I156" s="54" t="n"/>
      <c r="J156" s="211" t="inlineStr">
        <is>
          <t>FY26A / LTM</t>
        </is>
      </c>
      <c r="K156" s="54" t="n"/>
      <c r="L156" s="54" t="n"/>
      <c r="M156" s="54" t="n"/>
      <c r="N156" s="54" t="n"/>
      <c r="O156" s="54" t="n"/>
      <c r="P156" s="54" t="n"/>
      <c r="Q156" s="54" t="n"/>
      <c r="R156" s="54" t="n"/>
      <c r="S156" s="54" t="n"/>
      <c r="T156" s="55" t="n"/>
    </row>
    <row r="157" outlineLevel="1" ht="14.55" customFormat="1" customHeight="1" s="8">
      <c r="A157" s="7" t="n"/>
      <c r="C157" s="210">
        <f>Assumptions!$G$9</f>
        <v/>
      </c>
      <c r="D157" s="54" t="n"/>
      <c r="E157" s="54" t="n"/>
      <c r="F157" s="54" t="n"/>
      <c r="G157" s="54">
        <f>'Historical Financials'!G5</f>
        <v/>
      </c>
      <c r="H157" s="54">
        <f>'Historical Financials'!H5</f>
        <v/>
      </c>
      <c r="I157" s="54">
        <f>'Historical Financials'!I5</f>
        <v/>
      </c>
      <c r="J157" s="674">
        <f>'Historical Financials'!J5</f>
        <v/>
      </c>
      <c r="K157" s="54">
        <f>"FY"&amp;'Financial Model'!K$1&amp;"E"</f>
        <v/>
      </c>
      <c r="L157" s="54">
        <f>"FY"&amp;'Financial Model'!L$1&amp;"E"</f>
        <v/>
      </c>
      <c r="M157" s="54">
        <f>"FY"&amp;'Financial Model'!M$1&amp;"E"</f>
        <v/>
      </c>
      <c r="N157" s="54">
        <f>"FY"&amp;'Financial Model'!N$1&amp;"E"</f>
        <v/>
      </c>
      <c r="O157" s="54">
        <f>"FY"&amp;'Financial Model'!O$1&amp;"E"</f>
        <v/>
      </c>
      <c r="P157" s="54">
        <f>"FY"&amp;'Financial Model'!P$1&amp;"E"</f>
        <v/>
      </c>
      <c r="Q157" s="54">
        <f>"FY"&amp;'Financial Model'!Q$1&amp;"E"</f>
        <v/>
      </c>
      <c r="R157" s="54">
        <f>"FY"&amp;'Financial Model'!R$1&amp;"E"</f>
        <v/>
      </c>
      <c r="S157" s="54">
        <f>"FY"&amp;'Financial Model'!S$1&amp;"E"</f>
        <v/>
      </c>
      <c r="T157" s="55">
        <f>"FY"&amp;'Financial Model'!T$1&amp;"E"</f>
        <v/>
      </c>
    </row>
    <row r="158" outlineLevel="1" ht="5" customFormat="1" customHeight="1" s="8">
      <c r="A158" s="7" t="n"/>
      <c r="C158" s="9" t="n"/>
      <c r="D158" s="10" t="n"/>
      <c r="E158" s="10" t="n"/>
      <c r="F158" s="10" t="n"/>
      <c r="G158" s="242" t="n"/>
      <c r="H158" s="243" t="n"/>
      <c r="I158" s="243" t="n"/>
      <c r="J158" s="243" t="n"/>
      <c r="K158" s="243" t="n"/>
      <c r="L158" s="243" t="n"/>
      <c r="M158" s="243" t="n"/>
      <c r="N158" s="243" t="n"/>
      <c r="O158" s="243" t="n"/>
      <c r="P158" s="243" t="n"/>
      <c r="Q158" s="243" t="n"/>
      <c r="R158" s="243" t="n"/>
      <c r="S158" s="243" t="n"/>
      <c r="T158" s="243" t="n"/>
    </row>
    <row r="159" outlineLevel="1" ht="14.25" customFormat="1" customHeight="1" s="8">
      <c r="A159" s="7" t="n"/>
      <c r="C159" s="371">
        <f>+'Financial Model'!C101</f>
        <v/>
      </c>
      <c r="D159" s="244" t="n"/>
      <c r="E159" s="244" t="n"/>
      <c r="F159" s="244" t="n"/>
      <c r="G159" s="725">
        <f>'Financial Model'!G101</f>
        <v/>
      </c>
      <c r="H159" s="725">
        <f>'Financial Model'!H101</f>
        <v/>
      </c>
      <c r="I159" s="725">
        <f>'Financial Model'!I101</f>
        <v/>
      </c>
      <c r="J159" s="725">
        <f>'Financial Model'!J101</f>
        <v/>
      </c>
      <c r="K159" s="678">
        <f>+K161*K162</f>
        <v/>
      </c>
      <c r="L159" s="678">
        <f>+L161*L162</f>
        <v/>
      </c>
      <c r="M159" s="678">
        <f>+M161*M162</f>
        <v/>
      </c>
      <c r="N159" s="678">
        <f>+N161*N162</f>
        <v/>
      </c>
      <c r="O159" s="678">
        <f>+O161*O162</f>
        <v/>
      </c>
      <c r="P159" s="678">
        <f>+P161*P162</f>
        <v/>
      </c>
      <c r="Q159" s="678">
        <f>+Q161*Q162</f>
        <v/>
      </c>
      <c r="R159" s="678">
        <f>+R161*R162</f>
        <v/>
      </c>
      <c r="S159" s="678">
        <f>+S161*S162</f>
        <v/>
      </c>
      <c r="T159" s="678">
        <f>+T161*T162</f>
        <v/>
      </c>
    </row>
    <row r="160" outlineLevel="1" ht="5.2" customFormat="1" customHeight="1" s="8">
      <c r="A160" s="7" t="n"/>
      <c r="C160" s="245" t="n"/>
      <c r="D160" s="94" t="n"/>
      <c r="E160" s="94" t="n"/>
      <c r="F160" s="94" t="n"/>
      <c r="G160" s="246" t="n"/>
      <c r="H160" s="247" t="n"/>
      <c r="I160" s="247" t="n"/>
      <c r="J160" s="247" t="n"/>
      <c r="K160" s="247" t="n"/>
      <c r="L160" s="247" t="n"/>
      <c r="M160" s="247" t="n"/>
      <c r="N160" s="247" t="n"/>
      <c r="O160" s="247" t="n"/>
      <c r="P160" s="247" t="n"/>
      <c r="Q160" s="247" t="n"/>
      <c r="R160" s="247" t="n"/>
      <c r="S160" s="247" t="n"/>
      <c r="T160" s="247" t="n"/>
    </row>
    <row r="161" outlineLevel="1" ht="14.25" customFormat="1" customHeight="1" s="8">
      <c r="A161" s="7" t="n"/>
      <c r="C161" s="257" t="inlineStr">
        <is>
          <t>Total Revenue</t>
        </is>
      </c>
      <c r="D161" s="94" t="n"/>
      <c r="E161" s="94" t="n"/>
      <c r="F161" s="94" t="n"/>
      <c r="G161" s="675">
        <f>+'Financial Model'!G9</f>
        <v/>
      </c>
      <c r="H161" s="675">
        <f>+'Financial Model'!H9</f>
        <v/>
      </c>
      <c r="I161" s="675">
        <f>+'Financial Model'!I9</f>
        <v/>
      </c>
      <c r="J161" s="675">
        <f>+'Financial Model'!J9</f>
        <v/>
      </c>
      <c r="K161" s="675">
        <f>+'Financial Model'!K9</f>
        <v/>
      </c>
      <c r="L161" s="675">
        <f>+'Financial Model'!L9</f>
        <v/>
      </c>
      <c r="M161" s="675">
        <f>+'Financial Model'!M9</f>
        <v/>
      </c>
      <c r="N161" s="675">
        <f>+'Financial Model'!N9</f>
        <v/>
      </c>
      <c r="O161" s="675">
        <f>+'Financial Model'!O9</f>
        <v/>
      </c>
      <c r="P161" s="675">
        <f>+'Financial Model'!P9</f>
        <v/>
      </c>
      <c r="Q161" s="675">
        <f>+'Financial Model'!Q9</f>
        <v/>
      </c>
      <c r="R161" s="675">
        <f>+'Financial Model'!R9</f>
        <v/>
      </c>
      <c r="S161" s="675">
        <f>+'Financial Model'!S9</f>
        <v/>
      </c>
      <c r="T161" s="675">
        <f>+'Financial Model'!T9</f>
        <v/>
      </c>
    </row>
    <row r="162" outlineLevel="1" ht="14.25" customFormat="1" customHeight="1" s="8">
      <c r="A162" s="7" t="n"/>
      <c r="C162" s="257" t="inlineStr">
        <is>
          <t>% of Total Revenue</t>
        </is>
      </c>
      <c r="D162" s="94" t="n"/>
      <c r="E162" s="94" t="n"/>
      <c r="F162" s="94" t="n"/>
      <c r="G162" s="135">
        <f>+G159/G161</f>
        <v/>
      </c>
      <c r="H162" s="135">
        <f>+H159/H161</f>
        <v/>
      </c>
      <c r="I162" s="135">
        <f>+I159/I161</f>
        <v/>
      </c>
      <c r="J162" s="135">
        <f>+J159/J161</f>
        <v/>
      </c>
      <c r="K162" s="373">
        <f>$J$162</f>
        <v/>
      </c>
      <c r="L162" s="373">
        <f>$J$162</f>
        <v/>
      </c>
      <c r="M162" s="373">
        <f>$J$162</f>
        <v/>
      </c>
      <c r="N162" s="373">
        <f>$J$162</f>
        <v/>
      </c>
      <c r="O162" s="373">
        <f>$J$162</f>
        <v/>
      </c>
      <c r="P162" s="373">
        <f>$J$162</f>
        <v/>
      </c>
      <c r="Q162" s="373">
        <f>$J$162</f>
        <v/>
      </c>
      <c r="R162" s="373">
        <f>$J$162</f>
        <v/>
      </c>
      <c r="S162" s="373">
        <f>$J$162</f>
        <v/>
      </c>
      <c r="T162" s="373">
        <f>$J$162</f>
        <v/>
      </c>
    </row>
    <row r="163" outlineLevel="1" ht="5.2" customFormat="1" customHeight="1" s="8">
      <c r="A163" s="7" t="n"/>
      <c r="C163" s="245" t="n"/>
      <c r="D163" s="94" t="n"/>
      <c r="E163" s="94" t="n"/>
      <c r="F163" s="94" t="n"/>
      <c r="G163" s="246" t="n"/>
      <c r="H163" s="247" t="n"/>
      <c r="I163" s="247" t="n"/>
      <c r="J163" s="247" t="n"/>
      <c r="K163" s="247" t="n"/>
      <c r="L163" s="247" t="n"/>
      <c r="M163" s="247" t="n"/>
      <c r="N163" s="247" t="n"/>
      <c r="O163" s="247" t="n"/>
      <c r="P163" s="247" t="n"/>
      <c r="Q163" s="247" t="n"/>
      <c r="R163" s="247" t="n"/>
      <c r="S163" s="247" t="n"/>
      <c r="T163" s="247" t="n"/>
    </row>
    <row r="164" outlineLevel="1" ht="14.25" customFormat="1" customHeight="1" s="8" thickBot="1">
      <c r="A164" s="7" t="n"/>
      <c r="C164" s="249" t="n"/>
      <c r="D164" s="250" t="n"/>
      <c r="E164" s="250" t="n"/>
      <c r="F164" s="250" t="n"/>
      <c r="G164" s="251" t="n"/>
      <c r="H164" s="252" t="n"/>
      <c r="I164" s="252" t="n"/>
      <c r="J164" s="252" t="n"/>
      <c r="K164" s="252" t="n"/>
      <c r="L164" s="252" t="n"/>
      <c r="M164" s="252" t="n"/>
      <c r="N164" s="252" t="n"/>
      <c r="O164" s="252" t="n"/>
      <c r="P164" s="252" t="n"/>
      <c r="Q164" s="252" t="n"/>
      <c r="R164" s="252" t="n"/>
      <c r="S164" s="252" t="n"/>
      <c r="T164" s="252" t="n"/>
    </row>
    <row r="165" outlineLevel="1" ht="14.25" customFormat="1" customHeight="1" s="8">
      <c r="A165" s="7" t="n"/>
      <c r="C165" s="245" t="n"/>
      <c r="D165" s="94" t="n"/>
      <c r="E165" s="94" t="n"/>
      <c r="F165" s="94" t="n"/>
      <c r="G165" s="246" t="n"/>
      <c r="H165" s="247" t="n"/>
      <c r="I165" s="247" t="n"/>
      <c r="J165" s="247" t="n"/>
      <c r="K165" s="247" t="n"/>
      <c r="L165" s="247" t="n"/>
      <c r="M165" s="247" t="n"/>
      <c r="N165" s="247" t="n"/>
      <c r="O165" s="247" t="n"/>
      <c r="P165" s="247" t="n"/>
      <c r="Q165" s="247" t="n"/>
      <c r="R165" s="247" t="n"/>
      <c r="S165" s="247" t="n"/>
      <c r="T165" s="247" t="n"/>
    </row>
    <row r="166" outlineLevel="1" ht="14.25" customFormat="1" customHeight="1" s="8">
      <c r="A166" s="7" t="n"/>
      <c r="C166" s="371">
        <f>+'Financial Model'!C118</f>
        <v/>
      </c>
      <c r="D166" s="244" t="n"/>
      <c r="E166" s="244" t="n"/>
      <c r="F166" s="244" t="n"/>
      <c r="G166" s="725">
        <f>+'Financial Model'!G118</f>
        <v/>
      </c>
      <c r="H166" s="725">
        <f>+'Financial Model'!H118</f>
        <v/>
      </c>
      <c r="I166" s="725">
        <f>+'Financial Model'!I118</f>
        <v/>
      </c>
      <c r="J166" s="725">
        <f>+'Financial Model'!J118</f>
        <v/>
      </c>
      <c r="K166" s="678">
        <f>+K168*K169</f>
        <v/>
      </c>
      <c r="L166" s="678">
        <f>+L168*L169</f>
        <v/>
      </c>
      <c r="M166" s="678">
        <f>+M168*M169</f>
        <v/>
      </c>
      <c r="N166" s="678">
        <f>+N168*N169</f>
        <v/>
      </c>
      <c r="O166" s="678">
        <f>+O168*O169</f>
        <v/>
      </c>
      <c r="P166" s="678">
        <f>+P168*P169</f>
        <v/>
      </c>
      <c r="Q166" s="678">
        <f>+Q168*Q169</f>
        <v/>
      </c>
      <c r="R166" s="678">
        <f>+R168*R169</f>
        <v/>
      </c>
      <c r="S166" s="678">
        <f>+S168*S169</f>
        <v/>
      </c>
      <c r="T166" s="678">
        <f>+T168*T169</f>
        <v/>
      </c>
    </row>
    <row r="167" outlineLevel="1" ht="5.2" customFormat="1" customHeight="1" s="8">
      <c r="A167" s="7" t="n"/>
      <c r="C167" s="245" t="n"/>
      <c r="D167" s="94" t="n"/>
      <c r="E167" s="94" t="n"/>
      <c r="F167" s="94" t="n"/>
      <c r="G167" s="375" t="n"/>
      <c r="H167" s="375" t="n"/>
      <c r="I167" s="375" t="n"/>
      <c r="J167" s="375" t="n"/>
      <c r="K167" s="247" t="n"/>
      <c r="L167" s="247" t="n"/>
      <c r="M167" s="247" t="n"/>
      <c r="N167" s="247" t="n"/>
      <c r="O167" s="247" t="n"/>
      <c r="P167" s="247" t="n"/>
      <c r="Q167" s="247" t="n"/>
      <c r="R167" s="247" t="n"/>
      <c r="S167" s="247" t="n"/>
      <c r="T167" s="247" t="n"/>
    </row>
    <row r="168" outlineLevel="1" ht="14.25" customFormat="1" customHeight="1" s="8">
      <c r="A168" s="7" t="n"/>
      <c r="C168" s="257" t="inlineStr">
        <is>
          <t>Total Revenue</t>
        </is>
      </c>
      <c r="D168" s="94" t="n"/>
      <c r="E168" s="94" t="n"/>
      <c r="F168" s="94" t="n"/>
      <c r="G168" s="675">
        <f>+'Financial Model'!G9</f>
        <v/>
      </c>
      <c r="H168" s="675">
        <f>+'Financial Model'!H9</f>
        <v/>
      </c>
      <c r="I168" s="675">
        <f>+'Financial Model'!I9</f>
        <v/>
      </c>
      <c r="J168" s="675">
        <f>+'Financial Model'!J9</f>
        <v/>
      </c>
      <c r="K168" s="675">
        <f>+'Financial Model'!K9</f>
        <v/>
      </c>
      <c r="L168" s="675">
        <f>+'Financial Model'!L9</f>
        <v/>
      </c>
      <c r="M168" s="675">
        <f>+'Financial Model'!M9</f>
        <v/>
      </c>
      <c r="N168" s="675">
        <f>+'Financial Model'!N9</f>
        <v/>
      </c>
      <c r="O168" s="675">
        <f>+'Financial Model'!O9</f>
        <v/>
      </c>
      <c r="P168" s="675">
        <f>+'Financial Model'!P9</f>
        <v/>
      </c>
      <c r="Q168" s="675">
        <f>+'Financial Model'!Q9</f>
        <v/>
      </c>
      <c r="R168" s="675">
        <f>+'Financial Model'!R9</f>
        <v/>
      </c>
      <c r="S168" s="675">
        <f>+'Financial Model'!S9</f>
        <v/>
      </c>
      <c r="T168" s="675">
        <f>+'Financial Model'!T9</f>
        <v/>
      </c>
    </row>
    <row r="169" outlineLevel="1" ht="14.25" customFormat="1" customHeight="1" s="8">
      <c r="A169" s="7" t="n"/>
      <c r="C169" s="257" t="inlineStr">
        <is>
          <t>% of Total Revenue</t>
        </is>
      </c>
      <c r="D169" s="94" t="n"/>
      <c r="E169" s="94" t="n"/>
      <c r="F169" s="94" t="n"/>
      <c r="G169" s="135">
        <f>+G166/G168</f>
        <v/>
      </c>
      <c r="H169" s="135">
        <f>+H166/H168</f>
        <v/>
      </c>
      <c r="I169" s="135">
        <f>+I166/I168</f>
        <v/>
      </c>
      <c r="J169" s="135">
        <f>+J166/J168</f>
        <v/>
      </c>
      <c r="K169" s="373">
        <f>AVERAGE($H$169:$J$169)</f>
        <v/>
      </c>
      <c r="L169" s="373">
        <f>AVERAGE($H$169:$J$169)</f>
        <v/>
      </c>
      <c r="M169" s="373">
        <f>AVERAGE($H$169:$J$169)</f>
        <v/>
      </c>
      <c r="N169" s="373">
        <f>AVERAGE(M169,$J$169)</f>
        <v/>
      </c>
      <c r="O169" s="373">
        <f>$J$169</f>
        <v/>
      </c>
      <c r="P169" s="373">
        <f>$J$169</f>
        <v/>
      </c>
      <c r="Q169" s="373">
        <f>$J$169</f>
        <v/>
      </c>
      <c r="R169" s="373">
        <f>$J$169</f>
        <v/>
      </c>
      <c r="S169" s="373">
        <f>$J$169</f>
        <v/>
      </c>
      <c r="T169" s="373">
        <f>$J$169</f>
        <v/>
      </c>
      <c r="V169" t="inlineStr">
        <is>
          <t>Capex at FY24-FY26 average % of revenue for FY27E-FY29E; steps to FY26 % (near D&amp;A + growth) by FY31E. Negative = outflow (template sign).</t>
        </is>
      </c>
    </row>
    <row r="170" outlineLevel="1" ht="14.25" customFormat="1" customHeight="1" s="8">
      <c r="A170" s="7" t="n"/>
      <c r="C170" s="245" t="n"/>
      <c r="D170" s="94" t="n"/>
      <c r="E170" s="94" t="n"/>
      <c r="F170" s="94" t="n"/>
      <c r="G170" s="246" t="n"/>
      <c r="H170" s="247" t="n"/>
      <c r="I170" s="247" t="n"/>
      <c r="J170" s="247" t="n"/>
      <c r="K170" s="247" t="n"/>
      <c r="L170" s="247" t="n"/>
      <c r="M170" s="247" t="n"/>
      <c r="N170" s="247" t="n"/>
      <c r="O170" s="247" t="n"/>
      <c r="P170" s="247" t="n"/>
      <c r="Q170" s="247" t="n"/>
      <c r="R170" s="247" t="n"/>
      <c r="S170" s="247" t="n"/>
      <c r="T170" s="247" t="n"/>
    </row>
    <row r="171" outlineLevel="1" ht="14.25" customFormat="1" customHeight="1" s="8">
      <c r="A171" s="7" t="n"/>
      <c r="C171" s="371">
        <f>+'Financial Model'!C119</f>
        <v/>
      </c>
      <c r="D171" s="244" t="n"/>
      <c r="E171" s="244" t="n"/>
      <c r="F171" s="244" t="n"/>
      <c r="G171" s="725">
        <f>+'Financial Model'!G119</f>
        <v/>
      </c>
      <c r="H171" s="725">
        <f>+'Financial Model'!H119</f>
        <v/>
      </c>
      <c r="I171" s="725">
        <f>+'Financial Model'!I119</f>
        <v/>
      </c>
      <c r="J171" s="725">
        <f>+'Financial Model'!J119</f>
        <v/>
      </c>
      <c r="K171" s="737">
        <f>-Support!$D$12</f>
        <v/>
      </c>
      <c r="L171" s="726" t="n">
        <v>0</v>
      </c>
      <c r="M171" s="726" t="n">
        <v>0</v>
      </c>
      <c r="N171" s="726" t="n">
        <v>0</v>
      </c>
      <c r="O171" s="726" t="n">
        <v>0</v>
      </c>
      <c r="P171" s="726" t="n">
        <v>0</v>
      </c>
      <c r="Q171" s="726" t="n">
        <v>0</v>
      </c>
      <c r="R171" s="726" t="n">
        <v>0</v>
      </c>
      <c r="S171" s="726" t="n">
        <v>0</v>
      </c>
      <c r="T171" s="726" t="n">
        <v>0</v>
      </c>
      <c r="V171" t="inlineStr">
        <is>
          <t>ACV: $1.9B cash (8-K, 9/10/2026) leaves at FY27E open; booked to goodwill &amp; intangibles; no ACV P&amp;L consolidated.</t>
        </is>
      </c>
    </row>
    <row r="172" outlineLevel="1" ht="5.2" customFormat="1" customHeight="1" s="8">
      <c r="A172" s="7" t="n"/>
      <c r="C172" s="245" t="n"/>
      <c r="D172" s="94" t="n"/>
      <c r="E172" s="94" t="n"/>
      <c r="F172" s="94" t="n"/>
      <c r="G172" s="246" t="n"/>
      <c r="H172" s="247" t="n"/>
      <c r="I172" s="247" t="n"/>
      <c r="J172" s="247" t="n"/>
      <c r="K172" s="247" t="n"/>
      <c r="L172" s="247" t="n"/>
      <c r="M172" s="247" t="n"/>
      <c r="N172" s="247" t="n"/>
      <c r="O172" s="247" t="n"/>
      <c r="P172" s="247" t="n"/>
      <c r="Q172" s="247" t="n"/>
      <c r="R172" s="247" t="n"/>
      <c r="S172" s="247" t="n"/>
      <c r="T172" s="247" t="n"/>
    </row>
    <row r="173" outlineLevel="1" ht="14.25" customFormat="1" customHeight="1" s="8" thickBot="1">
      <c r="A173" s="7" t="n"/>
      <c r="C173" s="249" t="n"/>
      <c r="D173" s="250" t="n"/>
      <c r="E173" s="250" t="n"/>
      <c r="F173" s="250" t="n"/>
      <c r="G173" s="251" t="n"/>
      <c r="H173" s="252" t="n"/>
      <c r="I173" s="252" t="n"/>
      <c r="J173" s="252" t="n"/>
      <c r="K173" s="252" t="n"/>
      <c r="L173" s="252" t="n"/>
      <c r="M173" s="252" t="n"/>
      <c r="N173" s="252" t="n"/>
      <c r="O173" s="252" t="n"/>
      <c r="P173" s="252" t="n"/>
      <c r="Q173" s="252" t="n"/>
      <c r="R173" s="252" t="n"/>
      <c r="S173" s="252" t="n"/>
      <c r="T173" s="252" t="n"/>
    </row>
    <row r="174" outlineLevel="1" ht="14.25" customFormat="1" customHeight="1" s="8">
      <c r="A174" s="7" t="n"/>
      <c r="C174" s="245" t="n"/>
      <c r="D174" s="94" t="n"/>
      <c r="E174" s="94" t="n"/>
      <c r="F174" s="94" t="n"/>
      <c r="G174" s="246" t="n"/>
      <c r="H174" s="247" t="n"/>
      <c r="I174" s="247" t="n"/>
      <c r="J174" s="247" t="n"/>
      <c r="K174" s="247" t="n"/>
      <c r="L174" s="247" t="n"/>
      <c r="M174" s="247" t="n"/>
      <c r="N174" s="247" t="n"/>
      <c r="O174" s="247" t="n"/>
      <c r="P174" s="247" t="n"/>
      <c r="Q174" s="247" t="n"/>
      <c r="R174" s="247" t="n"/>
      <c r="S174" s="247" t="n"/>
      <c r="T174" s="247" t="n"/>
    </row>
    <row r="175" outlineLevel="1" ht="14.25" customFormat="1" customHeight="1" s="8">
      <c r="A175" s="7" t="n"/>
      <c r="C175" s="371">
        <f>'Financial Model'!$C$125</f>
        <v/>
      </c>
      <c r="D175" s="244" t="n"/>
      <c r="E175" s="244" t="n"/>
      <c r="F175" s="244" t="n"/>
      <c r="G175" s="725">
        <f>+'Financial Model'!G125</f>
        <v/>
      </c>
      <c r="H175" s="725">
        <f>+'Financial Model'!H125</f>
        <v/>
      </c>
      <c r="I175" s="725">
        <f>+'Financial Model'!I125</f>
        <v/>
      </c>
      <c r="J175" s="725">
        <f>+'Financial Model'!J125</f>
        <v/>
      </c>
      <c r="K175" s="733">
        <f>K177*K178</f>
        <v/>
      </c>
      <c r="L175" s="733">
        <f>L177*L178</f>
        <v/>
      </c>
      <c r="M175" s="733">
        <f>M177*M178</f>
        <v/>
      </c>
      <c r="N175" s="733">
        <f>N177*N178</f>
        <v/>
      </c>
      <c r="O175" s="733">
        <f>O177*O178</f>
        <v/>
      </c>
      <c r="P175" s="733">
        <f>P177*P178</f>
        <v/>
      </c>
      <c r="Q175" s="733">
        <f>Q177*Q178</f>
        <v/>
      </c>
      <c r="R175" s="733">
        <f>R177*R178</f>
        <v/>
      </c>
      <c r="S175" s="733">
        <f>S177*S178</f>
        <v/>
      </c>
      <c r="T175" s="733">
        <f>T177*T178</f>
        <v/>
      </c>
    </row>
    <row r="176" outlineLevel="1" ht="5" customFormat="1" customHeight="1" s="8">
      <c r="A176" s="7" t="n"/>
      <c r="C176" s="245" t="n"/>
      <c r="D176" s="94" t="n"/>
      <c r="E176" s="94" t="n"/>
      <c r="F176" s="94" t="n"/>
      <c r="G176" s="246" t="n"/>
      <c r="H176" s="247" t="n"/>
      <c r="I176" s="247" t="n"/>
      <c r="J176" s="247" t="n"/>
      <c r="K176" s="247" t="n"/>
      <c r="L176" s="247" t="n"/>
      <c r="M176" s="247" t="n"/>
      <c r="N176" s="247" t="n"/>
      <c r="O176" s="247" t="n"/>
      <c r="P176" s="247" t="n"/>
      <c r="Q176" s="247" t="n"/>
      <c r="R176" s="247" t="n"/>
      <c r="S176" s="247" t="n"/>
      <c r="T176" s="247" t="n"/>
    </row>
    <row r="177" outlineLevel="1" ht="14.25" customFormat="1" customHeight="1" s="8">
      <c r="A177" s="7" t="n"/>
      <c r="C177" s="257" t="inlineStr">
        <is>
          <t>Net Income</t>
        </is>
      </c>
      <c r="D177" s="94" t="n"/>
      <c r="E177" s="94" t="n"/>
      <c r="F177" s="94" t="n"/>
      <c r="G177" s="675">
        <f>+'Financial Model'!G41</f>
        <v/>
      </c>
      <c r="H177" s="675">
        <f>+'Financial Model'!H41</f>
        <v/>
      </c>
      <c r="I177" s="675">
        <f>+'Financial Model'!I41</f>
        <v/>
      </c>
      <c r="J177" s="675">
        <f>+'Financial Model'!J41</f>
        <v/>
      </c>
      <c r="K177" s="675">
        <f>+'Financial Model'!K41</f>
        <v/>
      </c>
      <c r="L177" s="675">
        <f>+'Financial Model'!L41</f>
        <v/>
      </c>
      <c r="M177" s="675">
        <f>+'Financial Model'!M41</f>
        <v/>
      </c>
      <c r="N177" s="675">
        <f>+'Financial Model'!N41</f>
        <v/>
      </c>
      <c r="O177" s="675">
        <f>+'Financial Model'!O41</f>
        <v/>
      </c>
      <c r="P177" s="675">
        <f>+'Financial Model'!P41</f>
        <v/>
      </c>
      <c r="Q177" s="675">
        <f>+'Financial Model'!Q41</f>
        <v/>
      </c>
      <c r="R177" s="675">
        <f>+'Financial Model'!R41</f>
        <v/>
      </c>
      <c r="S177" s="675">
        <f>+'Financial Model'!S41</f>
        <v/>
      </c>
      <c r="T177" s="675">
        <f>+'Financial Model'!T41</f>
        <v/>
      </c>
    </row>
    <row r="178" outlineLevel="1" ht="14.25" customFormat="1" customHeight="1" s="8">
      <c r="A178" s="7" t="n"/>
      <c r="C178" s="257" t="inlineStr">
        <is>
          <t>Buyback Ratio</t>
        </is>
      </c>
      <c r="D178" s="94" t="n"/>
      <c r="E178" s="94" t="n"/>
      <c r="F178" s="94" t="n"/>
      <c r="G178" s="135">
        <f>+G175/G177</f>
        <v/>
      </c>
      <c r="H178" s="135">
        <f>+H175/H177</f>
        <v/>
      </c>
      <c r="I178" s="135">
        <f>+I175/I177</f>
        <v/>
      </c>
      <c r="J178" s="135">
        <f>+J175/J177</f>
        <v/>
      </c>
      <c r="K178" s="731">
        <f>IF(K177=0,0,-K210/K177)</f>
        <v/>
      </c>
      <c r="L178" s="731">
        <f>IF(L177=0,0,-L210/L177)</f>
        <v/>
      </c>
      <c r="M178" s="731">
        <f>IF(M177=0,0,-M210/M177)</f>
        <v/>
      </c>
      <c r="N178" s="731">
        <f>IF(N177=0,0,-N210/N177)</f>
        <v/>
      </c>
      <c r="O178" s="731">
        <f>IF(O177=0,0,-O210/O177)</f>
        <v/>
      </c>
      <c r="P178" s="731">
        <f>IF(P177=0,0,-P210/P177)</f>
        <v/>
      </c>
      <c r="Q178" s="731">
        <f>IF(Q177=0,0,-Q210/Q177)</f>
        <v/>
      </c>
      <c r="R178" s="731">
        <f>IF(R177=0,0,-R210/R177)</f>
        <v/>
      </c>
      <c r="S178" s="731">
        <f>IF(S177=0,0,-S210/S177)</f>
        <v/>
      </c>
      <c r="T178" s="731">
        <f>IF(T177=0,0,-T210/T177)</f>
        <v/>
      </c>
      <c r="V178" t="inlineStr">
        <is>
          <t>Buybacks only from cash above the stated minimum (row 209) after the ACV check clears.</t>
        </is>
      </c>
    </row>
    <row r="179" outlineLevel="1" ht="14.25" customFormat="1" customHeight="1" s="8">
      <c r="A179" s="7" t="n"/>
      <c r="C179" s="245" t="n"/>
      <c r="D179" s="94" t="n"/>
      <c r="E179" s="94" t="n"/>
      <c r="F179" s="94" t="n"/>
      <c r="G179" s="246" t="n"/>
      <c r="H179" s="247" t="n"/>
      <c r="I179" s="247" t="n"/>
      <c r="J179" s="247" t="n"/>
      <c r="K179" s="247" t="n"/>
      <c r="L179" s="247" t="n"/>
      <c r="M179" s="247" t="n"/>
      <c r="N179" s="247" t="n"/>
      <c r="O179" s="247" t="n"/>
      <c r="P179" s="247" t="n"/>
      <c r="Q179" s="247" t="n"/>
      <c r="R179" s="247" t="n"/>
      <c r="S179" s="247" t="n"/>
      <c r="T179" s="247" t="n"/>
    </row>
    <row r="180" outlineLevel="1" ht="14.25" customFormat="1" customHeight="1" s="8">
      <c r="A180" s="7" t="n"/>
      <c r="C180" s="371">
        <f>'Financial Model'!$C$126</f>
        <v/>
      </c>
      <c r="D180" s="244" t="n"/>
      <c r="E180" s="244" t="n"/>
      <c r="F180" s="244" t="n"/>
      <c r="G180" s="725">
        <f>+'Financial Model'!G126</f>
        <v/>
      </c>
      <c r="H180" s="725">
        <f>+'Financial Model'!H126</f>
        <v/>
      </c>
      <c r="I180" s="725">
        <f>+'Financial Model'!I126</f>
        <v/>
      </c>
      <c r="J180" s="725">
        <f>+'Financial Model'!J126</f>
        <v/>
      </c>
      <c r="K180" s="678">
        <f>+K182*K183</f>
        <v/>
      </c>
      <c r="L180" s="678">
        <f>+L182*L183</f>
        <v/>
      </c>
      <c r="M180" s="678">
        <f>+M182*M183</f>
        <v/>
      </c>
      <c r="N180" s="678">
        <f>+N182*N183</f>
        <v/>
      </c>
      <c r="O180" s="678">
        <f>+O182*O183</f>
        <v/>
      </c>
      <c r="P180" s="678">
        <f>+P182*P183</f>
        <v/>
      </c>
      <c r="Q180" s="678">
        <f>+Q182*Q183</f>
        <v/>
      </c>
      <c r="R180" s="678">
        <f>+R182*R183</f>
        <v/>
      </c>
      <c r="S180" s="678">
        <f>+S182*S183</f>
        <v/>
      </c>
      <c r="T180" s="678">
        <f>+T182*T183</f>
        <v/>
      </c>
    </row>
    <row r="181" outlineLevel="1" ht="5.2" customFormat="1" customHeight="1" s="8">
      <c r="A181" s="7" t="n"/>
      <c r="C181" s="245" t="n"/>
      <c r="D181" s="94" t="n"/>
      <c r="E181" s="94" t="n"/>
      <c r="F181" s="94" t="n"/>
      <c r="G181" s="246" t="n"/>
      <c r="H181" s="247" t="n"/>
      <c r="I181" s="247" t="n"/>
      <c r="J181" s="247" t="n"/>
      <c r="K181" s="247" t="n"/>
      <c r="L181" s="247" t="n"/>
      <c r="M181" s="247" t="n"/>
      <c r="N181" s="247" t="n"/>
      <c r="O181" s="247" t="n"/>
      <c r="P181" s="247" t="n"/>
      <c r="Q181" s="247" t="n"/>
      <c r="R181" s="247" t="n"/>
      <c r="S181" s="247" t="n"/>
      <c r="T181" s="247" t="n"/>
    </row>
    <row r="182" outlineLevel="1" ht="14.25" customFormat="1" customHeight="1" s="8">
      <c r="A182" s="7" t="n"/>
      <c r="C182" s="257" t="inlineStr">
        <is>
          <t>Net Income</t>
        </is>
      </c>
      <c r="D182" s="94" t="n"/>
      <c r="E182" s="94" t="n"/>
      <c r="F182" s="94" t="n"/>
      <c r="G182" s="675">
        <f>+'Financial Model'!G41</f>
        <v/>
      </c>
      <c r="H182" s="675">
        <f>+'Financial Model'!H41</f>
        <v/>
      </c>
      <c r="I182" s="675">
        <f>+'Financial Model'!I41</f>
        <v/>
      </c>
      <c r="J182" s="675">
        <f>+'Financial Model'!J41</f>
        <v/>
      </c>
      <c r="K182" s="675">
        <f>+'Financial Model'!K41</f>
        <v/>
      </c>
      <c r="L182" s="675">
        <f>+'Financial Model'!L41</f>
        <v/>
      </c>
      <c r="M182" s="675">
        <f>+'Financial Model'!M41</f>
        <v/>
      </c>
      <c r="N182" s="675">
        <f>+'Financial Model'!N41</f>
        <v/>
      </c>
      <c r="O182" s="675">
        <f>+'Financial Model'!O41</f>
        <v/>
      </c>
      <c r="P182" s="675">
        <f>+'Financial Model'!P41</f>
        <v/>
      </c>
      <c r="Q182" s="675">
        <f>+'Financial Model'!Q41</f>
        <v/>
      </c>
      <c r="R182" s="675">
        <f>+'Financial Model'!R41</f>
        <v/>
      </c>
      <c r="S182" s="675">
        <f>+'Financial Model'!S41</f>
        <v/>
      </c>
      <c r="T182" s="675">
        <f>+'Financial Model'!T41</f>
        <v/>
      </c>
    </row>
    <row r="183" outlineLevel="1" ht="14.25" customFormat="1" customHeight="1" s="8">
      <c r="A183" s="7" t="n"/>
      <c r="C183" s="257" t="inlineStr">
        <is>
          <t>Payout Ratio</t>
        </is>
      </c>
      <c r="D183" s="94" t="n"/>
      <c r="E183" s="94" t="n"/>
      <c r="F183" s="94" t="n"/>
      <c r="G183" s="135">
        <f>+G180/G182</f>
        <v/>
      </c>
      <c r="H183" s="135">
        <f>+H180/H182</f>
        <v/>
      </c>
      <c r="I183" s="135">
        <f>+I180/I182</f>
        <v/>
      </c>
      <c r="J183" s="135">
        <f>+J180/J182</f>
        <v/>
      </c>
      <c r="K183" s="373" t="n">
        <v>0</v>
      </c>
      <c r="L183" s="373" t="n">
        <v>0</v>
      </c>
      <c r="M183" s="373" t="n">
        <v>0</v>
      </c>
      <c r="N183" s="373" t="n">
        <v>0</v>
      </c>
      <c r="O183" s="373" t="n">
        <v>0</v>
      </c>
      <c r="P183" s="373" t="n">
        <v>0</v>
      </c>
      <c r="Q183" s="373" t="n">
        <v>0</v>
      </c>
      <c r="R183" s="373" t="n">
        <v>0</v>
      </c>
      <c r="S183" s="373" t="n">
        <v>0</v>
      </c>
      <c r="T183" s="373" t="n">
        <v>0</v>
      </c>
    </row>
    <row r="184" outlineLevel="1" ht="14.25" customFormat="1" customHeight="1" s="8" thickBot="1">
      <c r="A184" s="7" t="n"/>
      <c r="C184" s="249" t="n"/>
      <c r="D184" s="250" t="n"/>
      <c r="E184" s="250" t="n"/>
      <c r="F184" s="250" t="n"/>
      <c r="G184" s="251" t="n"/>
      <c r="H184" s="252" t="n"/>
      <c r="I184" s="252" t="n"/>
      <c r="J184" s="252" t="n"/>
      <c r="K184" s="252" t="n"/>
      <c r="L184" s="252" t="n"/>
      <c r="M184" s="252" t="n"/>
      <c r="N184" s="252" t="n"/>
      <c r="O184" s="252" t="n"/>
      <c r="P184" s="252" t="n"/>
      <c r="Q184" s="252" t="n"/>
      <c r="R184" s="252" t="n"/>
      <c r="S184" s="252" t="n"/>
      <c r="T184" s="252" t="n"/>
    </row>
    <row r="185" outlineLevel="1" ht="14.25" customFormat="1" customHeight="1" s="8">
      <c r="A185" s="7" t="n"/>
      <c r="C185" s="245" t="n"/>
      <c r="D185" s="94" t="n"/>
      <c r="E185" s="94" t="n"/>
      <c r="F185" s="94" t="n"/>
      <c r="G185" s="246" t="n"/>
      <c r="H185" s="247" t="n"/>
      <c r="I185" s="247" t="n"/>
      <c r="J185" s="247" t="n"/>
      <c r="K185" s="247" t="n"/>
      <c r="L185" s="247" t="n"/>
      <c r="M185" s="247" t="n"/>
      <c r="N185" s="247" t="n"/>
      <c r="O185" s="247" t="n"/>
      <c r="P185" s="247" t="n"/>
      <c r="Q185" s="247" t="n"/>
      <c r="R185" s="247" t="n"/>
      <c r="S185" s="247" t="n"/>
      <c r="T185" s="247" t="n"/>
    </row>
    <row r="190">
      <c r="C190" s="738" t="inlineStr">
        <is>
          <t>Unit Bridge &amp; Short-Case Drivers (feeds rows 10-11, 15-16, 22, 70, 178)</t>
        </is>
      </c>
      <c r="D190" s="739" t="n"/>
      <c r="E190" s="739" t="n"/>
      <c r="F190" s="739" t="n"/>
      <c r="G190" s="739" t="n"/>
      <c r="H190" s="739" t="n"/>
      <c r="I190" s="739" t="n"/>
      <c r="J190" s="739" t="n"/>
      <c r="K190" s="739" t="n"/>
      <c r="L190" s="739" t="n"/>
      <c r="M190" s="739" t="n"/>
      <c r="N190" s="739" t="n"/>
      <c r="O190" s="739" t="n"/>
      <c r="P190" s="739" t="n"/>
      <c r="Q190" s="739" t="n"/>
      <c r="R190" s="739" t="n"/>
      <c r="S190" s="739" t="n"/>
      <c r="T190" s="739" t="n"/>
    </row>
    <row r="191">
      <c r="C191" s="739" t="n"/>
      <c r="D191" s="739" t="n"/>
      <c r="E191" s="739" t="n"/>
      <c r="F191" s="739" t="n"/>
      <c r="G191" s="740">
        <f>G6</f>
        <v/>
      </c>
      <c r="H191" s="740">
        <f>H6</f>
        <v/>
      </c>
      <c r="I191" s="740">
        <f>I6</f>
        <v/>
      </c>
      <c r="J191" s="740">
        <f>J6</f>
        <v/>
      </c>
      <c r="K191" s="740">
        <f>K6</f>
        <v/>
      </c>
      <c r="L191" s="740">
        <f>L6</f>
        <v/>
      </c>
      <c r="M191" s="740">
        <f>M6</f>
        <v/>
      </c>
      <c r="N191" s="740">
        <f>N6</f>
        <v/>
      </c>
      <c r="O191" s="740">
        <f>O6</f>
        <v/>
      </c>
      <c r="P191" s="740">
        <f>P6</f>
        <v/>
      </c>
      <c r="Q191" s="740">
        <f>Q6</f>
        <v/>
      </c>
      <c r="R191" s="740">
        <f>R6</f>
        <v/>
      </c>
      <c r="S191" s="740">
        <f>S6</f>
        <v/>
      </c>
      <c r="T191" s="740">
        <f>T6</f>
        <v/>
      </c>
    </row>
    <row r="192">
      <c r="C192" s="741" t="inlineStr">
        <is>
          <t>Total units growth (y/y)</t>
        </is>
      </c>
      <c r="H192" s="742" t="n">
        <v>0.1</v>
      </c>
      <c r="I192" s="742" t="n">
        <v>0.048</v>
      </c>
      <c r="J192" s="742" t="n">
        <v>-0.055</v>
      </c>
      <c r="K192" s="743">
        <f>Support!$G$20</f>
        <v/>
      </c>
      <c r="L192" s="742" t="n">
        <v>-0.01</v>
      </c>
      <c r="M192" s="742" t="n">
        <v>0</v>
      </c>
      <c r="N192" s="742" t="n">
        <v>0.005</v>
      </c>
      <c r="O192" s="742" t="n">
        <v>0.005</v>
      </c>
      <c r="P192" s="742" t="n">
        <v>0.005</v>
      </c>
      <c r="Q192" s="742" t="n">
        <v>0.005</v>
      </c>
      <c r="R192" s="742" t="n">
        <v>0.005</v>
      </c>
      <c r="S192" s="742" t="n">
        <v>0.005</v>
      </c>
      <c r="T192" s="742" t="n">
        <v>0.005</v>
      </c>
      <c r="V192" t="inlineStr">
        <is>
          <t>FY24 "nearly 10%" (Q4 FY24 call); FY25 +4.8% (Q4 FY25 call); FY26 -5.5% (Q4 FY26 call). FY27E from Support scenario (memo Exhibit 2: -3%). FY28E -1%, FY29E 0%, then +0.5% from international/whole-car only (memo logic extended).</t>
        </is>
      </c>
    </row>
    <row r="193">
      <c r="C193" s="741" t="inlineStr">
        <is>
          <t>US total units growth (reported)</t>
        </is>
      </c>
      <c r="H193" s="742" t="n">
        <v>0.08</v>
      </c>
      <c r="I193" s="742" t="n">
        <v>0.041</v>
      </c>
      <c r="J193" s="742" t="n">
        <v>-0.06900000000000001</v>
      </c>
    </row>
    <row r="194">
      <c r="C194" s="741" t="inlineStr">
        <is>
          <t>US insurance units growth (KPI 1) - forecast = residual</t>
        </is>
      </c>
      <c r="H194" s="742" t="n">
        <v>0.07000000000000001</v>
      </c>
      <c r="I194" s="742" t="n">
        <v>0.042</v>
      </c>
      <c r="J194" s="742" t="n">
        <v>-0.08</v>
      </c>
      <c r="K194" s="744">
        <f>K200/J200-1</f>
        <v/>
      </c>
      <c r="L194" s="744">
        <f>L200/K200-1</f>
        <v/>
      </c>
      <c r="M194" s="744">
        <f>M200/L200-1</f>
        <v/>
      </c>
      <c r="N194" s="744">
        <f>N200/M200-1</f>
        <v/>
      </c>
      <c r="O194" s="744">
        <f>O200/N200-1</f>
        <v/>
      </c>
      <c r="P194" s="744">
        <f>P200/O200-1</f>
        <v/>
      </c>
      <c r="Q194" s="744">
        <f>Q200/P200-1</f>
        <v/>
      </c>
      <c r="R194" s="744">
        <f>R200/Q200-1</f>
        <v/>
      </c>
      <c r="S194" s="744">
        <f>S200/R200-1</f>
        <v/>
      </c>
      <c r="T194" s="744">
        <f>T200/S200-1</f>
        <v/>
      </c>
      <c r="V194" t="inlineStr">
        <is>
          <t>FY24 "about 7%", FY25 +4.2%, FY26 -8.0% (calls). Forecast is the residual: stays negative, no US insurance recovery underwritten.</t>
        </is>
      </c>
    </row>
    <row r="195">
      <c r="C195" s="741" t="inlineStr">
        <is>
          <t>US non-insurance units growth</t>
        </is>
      </c>
      <c r="I195" s="742" t="n">
        <v>0.028</v>
      </c>
      <c r="J195" s="742" t="n">
        <v>-0.039</v>
      </c>
      <c r="K195" s="742" t="n">
        <v>0.01</v>
      </c>
      <c r="L195" s="742" t="n">
        <v>0.02</v>
      </c>
      <c r="M195" s="742" t="n">
        <v>0.02</v>
      </c>
      <c r="N195" s="742" t="n">
        <v>0.02</v>
      </c>
      <c r="O195" s="742" t="n">
        <v>0.02</v>
      </c>
      <c r="P195" s="742" t="n">
        <v>0.02</v>
      </c>
      <c r="Q195" s="742" t="n">
        <v>0.02</v>
      </c>
      <c r="R195" s="742" t="n">
        <v>0.02</v>
      </c>
      <c r="S195" s="742" t="n">
        <v>0.02</v>
      </c>
      <c r="T195" s="742" t="n">
        <v>0.02</v>
      </c>
      <c r="V195" t="inlineStr">
        <is>
          <t>FY25 +2.8%, FY26 -3.9% (Q4 +0.2%, dealer +5.8%) per calls. Forecast = analyst input (whole-car).</t>
        </is>
      </c>
    </row>
    <row r="196">
      <c r="C196" s="741" t="inlineStr">
        <is>
          <t>International units growth</t>
        </is>
      </c>
      <c r="H196" s="742" t="n">
        <v>0.21</v>
      </c>
      <c r="J196" s="742" t="n">
        <v>0.037</v>
      </c>
      <c r="K196" s="742" t="n">
        <v>0.05</v>
      </c>
      <c r="L196" s="742" t="n">
        <v>0.05</v>
      </c>
      <c r="M196" s="742" t="n">
        <v>0.04</v>
      </c>
      <c r="N196" s="742" t="n">
        <v>0.04</v>
      </c>
      <c r="O196" s="742" t="n">
        <v>0.03</v>
      </c>
      <c r="P196" s="742" t="n">
        <v>0.03</v>
      </c>
      <c r="Q196" s="742" t="n">
        <v>0.03</v>
      </c>
      <c r="R196" s="742" t="n">
        <v>0.03</v>
      </c>
      <c r="S196" s="742" t="n">
        <v>0.03</v>
      </c>
      <c r="T196" s="742" t="n">
        <v>0.03</v>
      </c>
      <c r="V196" t="inlineStr">
        <is>
          <t>FY24 +21%, FY26 +3.7% (Q4 +10%) per calls. Forecast = analyst input.</t>
        </is>
      </c>
    </row>
    <row r="197">
      <c r="C197" s="741" t="inlineStr">
        <is>
          <t>US share of prior-year units (derived from FY26 growth rates)</t>
        </is>
      </c>
      <c r="J197" s="744">
        <f>(J192-J196)/(J193-J196)</f>
        <v/>
      </c>
    </row>
    <row r="198">
      <c r="C198" s="741" t="inlineStr">
        <is>
          <t>US insurance share of US prior-year units (derived)</t>
        </is>
      </c>
      <c r="J198" s="744">
        <f>(J193-J195)/(J194-J195)</f>
        <v/>
      </c>
    </row>
    <row r="199">
      <c r="C199" s="741" t="inlineStr">
        <is>
          <t>Total units (M)</t>
        </is>
      </c>
      <c r="G199" s="745">
        <f>G10</f>
        <v/>
      </c>
      <c r="H199" s="745">
        <f>H10</f>
        <v/>
      </c>
      <c r="I199" s="745">
        <f>I10</f>
        <v/>
      </c>
      <c r="J199" s="745">
        <f>J10</f>
        <v/>
      </c>
      <c r="K199" s="745">
        <f>K10</f>
        <v/>
      </c>
      <c r="L199" s="745">
        <f>L10</f>
        <v/>
      </c>
      <c r="M199" s="745">
        <f>M10</f>
        <v/>
      </c>
      <c r="N199" s="745">
        <f>N10</f>
        <v/>
      </c>
      <c r="O199" s="745">
        <f>O10</f>
        <v/>
      </c>
      <c r="P199" s="745">
        <f>P10</f>
        <v/>
      </c>
      <c r="Q199" s="745">
        <f>Q10</f>
        <v/>
      </c>
      <c r="R199" s="745">
        <f>R10</f>
        <v/>
      </c>
      <c r="S199" s="745">
        <f>S10</f>
        <v/>
      </c>
      <c r="T199" s="745">
        <f>T10</f>
        <v/>
      </c>
    </row>
    <row r="200">
      <c r="C200" s="741" t="inlineStr">
        <is>
          <t>US insurance units (M)</t>
        </is>
      </c>
      <c r="J200" s="745">
        <f>I199*J197*J198*(1+J194)</f>
        <v/>
      </c>
      <c r="K200" s="745">
        <f>K199-K201-K202</f>
        <v/>
      </c>
      <c r="L200" s="745">
        <f>L199-L201-L202</f>
        <v/>
      </c>
      <c r="M200" s="745">
        <f>M199-M201-M202</f>
        <v/>
      </c>
      <c r="N200" s="745">
        <f>N199-N201-N202</f>
        <v/>
      </c>
      <c r="O200" s="745">
        <f>O199-O201-O202</f>
        <v/>
      </c>
      <c r="P200" s="745">
        <f>P199-P201-P202</f>
        <v/>
      </c>
      <c r="Q200" s="745">
        <f>Q199-Q201-Q202</f>
        <v/>
      </c>
      <c r="R200" s="745">
        <f>R199-R201-R202</f>
        <v/>
      </c>
      <c r="S200" s="745">
        <f>S199-S201-S202</f>
        <v/>
      </c>
      <c r="T200" s="745">
        <f>T199-T201-T202</f>
        <v/>
      </c>
    </row>
    <row r="201">
      <c r="C201" s="741" t="inlineStr">
        <is>
          <t>US non-insurance units (M)</t>
        </is>
      </c>
      <c r="J201" s="745">
        <f>I199*J197*(1-J198)*(1+J195)</f>
        <v/>
      </c>
      <c r="K201" s="745">
        <f>J201*(1+K195)</f>
        <v/>
      </c>
      <c r="L201" s="745">
        <f>K201*(1+L195)</f>
        <v/>
      </c>
      <c r="M201" s="745">
        <f>L201*(1+M195)</f>
        <v/>
      </c>
      <c r="N201" s="745">
        <f>M201*(1+N195)</f>
        <v/>
      </c>
      <c r="O201" s="745">
        <f>N201*(1+O195)</f>
        <v/>
      </c>
      <c r="P201" s="745">
        <f>O201*(1+P195)</f>
        <v/>
      </c>
      <c r="Q201" s="745">
        <f>P201*(1+Q195)</f>
        <v/>
      </c>
      <c r="R201" s="745">
        <f>Q201*(1+R195)</f>
        <v/>
      </c>
      <c r="S201" s="745">
        <f>R201*(1+S195)</f>
        <v/>
      </c>
      <c r="T201" s="745">
        <f>S201*(1+T195)</f>
        <v/>
      </c>
    </row>
    <row r="202">
      <c r="C202" s="741" t="inlineStr">
        <is>
          <t>International units (M)</t>
        </is>
      </c>
      <c r="J202" s="745">
        <f>I199*(1-J197)*(1+J196)</f>
        <v/>
      </c>
      <c r="K202" s="745">
        <f>J202*(1+K196)</f>
        <v/>
      </c>
      <c r="L202" s="745">
        <f>K202*(1+L196)</f>
        <v/>
      </c>
      <c r="M202" s="745">
        <f>L202*(1+M196)</f>
        <v/>
      </c>
      <c r="N202" s="745">
        <f>M202*(1+N196)</f>
        <v/>
      </c>
      <c r="O202" s="745">
        <f>N202*(1+O196)</f>
        <v/>
      </c>
      <c r="P202" s="745">
        <f>O202*(1+P196)</f>
        <v/>
      </c>
      <c r="Q202" s="745">
        <f>P202*(1+Q196)</f>
        <v/>
      </c>
      <c r="R202" s="745">
        <f>Q202*(1+R196)</f>
        <v/>
      </c>
      <c r="S202" s="745">
        <f>R202*(1+S196)</f>
        <v/>
      </c>
      <c r="T202" s="745">
        <f>S202*(1+T196)</f>
        <v/>
      </c>
    </row>
    <row r="203">
      <c r="C203" s="741" t="inlineStr">
        <is>
          <t>Service revenue per unit growth (KPI 2)</t>
        </is>
      </c>
      <c r="H203" s="744">
        <f>H11/G11-1</f>
        <v/>
      </c>
      <c r="I203" s="744">
        <f>I11/H11-1</f>
        <v/>
      </c>
      <c r="J203" s="744">
        <f>J11/I11-1</f>
        <v/>
      </c>
      <c r="K203" s="743">
        <f>Support!$G$21</f>
        <v/>
      </c>
      <c r="L203" s="742" t="n">
        <v>0.03</v>
      </c>
      <c r="M203" s="742" t="n">
        <v>0.025</v>
      </c>
      <c r="N203" s="742" t="n">
        <v>0.02</v>
      </c>
      <c r="O203" s="742" t="n">
        <v>0.02</v>
      </c>
      <c r="P203" s="742" t="n">
        <v>0.019</v>
      </c>
      <c r="Q203" s="742" t="n">
        <v>0.018</v>
      </c>
      <c r="R203" s="742" t="n">
        <v>0.017</v>
      </c>
      <c r="S203" s="742" t="n">
        <v>0.016</v>
      </c>
      <c r="T203" s="742" t="n">
        <v>0.015</v>
      </c>
      <c r="V203" t="inlineStr">
        <is>
          <t>FY27E +4% memo Exhibit 2; fades to +2% by FY30E and +1.5% by FY36E (memo logic extended; memo gives no explicit path past FY27).</t>
        </is>
      </c>
    </row>
    <row r="204">
      <c r="C204" s="741" t="inlineStr">
        <is>
          <t>Operating margin (driver)</t>
        </is>
      </c>
      <c r="G204" s="743">
        <f>'Financial Model'!G32/'Financial Model'!G9</f>
        <v/>
      </c>
      <c r="H204" s="743">
        <f>'Financial Model'!H32/'Financial Model'!H9</f>
        <v/>
      </c>
      <c r="I204" s="743">
        <f>'Financial Model'!I32/'Financial Model'!I9</f>
        <v/>
      </c>
      <c r="J204" s="743">
        <f>'Financial Model'!J32/'Financial Model'!J9</f>
        <v/>
      </c>
      <c r="K204" s="743">
        <f>Support!$G$22</f>
        <v/>
      </c>
      <c r="L204" s="744">
        <f>K204+L205</f>
        <v/>
      </c>
      <c r="M204" s="744">
        <f>L204+M205</f>
        <v/>
      </c>
      <c r="N204" s="744">
        <f>M204+N205</f>
        <v/>
      </c>
      <c r="O204" s="744">
        <f>N204+O205</f>
        <v/>
      </c>
      <c r="P204" s="744">
        <f>O204+P205</f>
        <v/>
      </c>
      <c r="Q204" s="744">
        <f>P204+Q205</f>
        <v/>
      </c>
      <c r="R204" s="744">
        <f>Q204+R205</f>
        <v/>
      </c>
      <c r="S204" s="744">
        <f>R204+S205</f>
        <v/>
      </c>
      <c r="T204" s="744">
        <f>S204+T205</f>
        <v/>
      </c>
      <c r="V204" s="360" t="inlineStr">
        <is>
          <t>FY27E 33.0% memo Exhibit 2, then held flat. Not a new leg down: FY26A 35.4% blends 36.5% for the first nine months with a 32.0% Q4 exit, so 33.0% is 100bp above the exit rate. +100bp = ~$0.04 EPS, ~$0.61 on the target.</t>
        </is>
      </c>
    </row>
    <row r="205">
      <c r="C205" s="741" t="inlineStr">
        <is>
          <t>Margin step vs prior year (0 = no recovery)</t>
        </is>
      </c>
      <c r="L205" s="742" t="n">
        <v>0</v>
      </c>
      <c r="M205" s="742" t="n">
        <v>0</v>
      </c>
      <c r="N205" s="742" t="n">
        <v>0</v>
      </c>
      <c r="O205" s="742" t="n">
        <v>0</v>
      </c>
      <c r="P205" s="742" t="n">
        <v>0</v>
      </c>
      <c r="Q205" s="742" t="n">
        <v>0</v>
      </c>
      <c r="R205" s="742" t="n">
        <v>0</v>
      </c>
      <c r="S205" s="742" t="n">
        <v>0</v>
      </c>
      <c r="T205" s="742" t="n">
        <v>0</v>
      </c>
      <c r="V205" s="360" t="inlineStr">
        <is>
          <t>No recovery: units grow only +0.5% a year from FY30E, so no volume re-absorbs yard cost. Management says it will cut cost per car but gives no guidance: no credit given. Enter a step here to flex. See Model Notes 3-4.</t>
        </is>
      </c>
    </row>
    <row r="206">
      <c r="C206" s="741" t="inlineStr">
        <is>
          <t>ACV EBIT contribution toggle ($M, default 0)</t>
        </is>
      </c>
      <c r="K206" s="746" t="n">
        <v>0</v>
      </c>
      <c r="L206" s="746" t="n">
        <v>0</v>
      </c>
      <c r="M206" s="746" t="n">
        <v>0</v>
      </c>
      <c r="N206" s="746" t="n">
        <v>0</v>
      </c>
      <c r="O206" s="746" t="n">
        <v>0</v>
      </c>
      <c r="P206" s="746" t="n">
        <v>0</v>
      </c>
      <c r="Q206" s="746" t="n">
        <v>0</v>
      </c>
      <c r="R206" s="746" t="n">
        <v>0</v>
      </c>
      <c r="S206" s="746" t="n">
        <v>0</v>
      </c>
      <c r="T206" s="746" t="n">
        <v>0</v>
      </c>
      <c r="V206" t="inlineStr">
        <is>
          <t>Dealer wholesale is Manheim and OPENLANE's market, not an edge; management expects accretion only from FY28. No ACV synergies underwritten.</t>
        </is>
      </c>
    </row>
    <row r="207">
      <c r="C207" s="741" t="inlineStr">
        <is>
          <t>Other / interest income ($M)</t>
        </is>
      </c>
      <c r="G207" s="747">
        <f>-'Financial Model'!G35</f>
        <v/>
      </c>
      <c r="H207" s="747">
        <f>-'Financial Model'!H35</f>
        <v/>
      </c>
      <c r="I207" s="747">
        <f>-'Financial Model'!I35</f>
        <v/>
      </c>
      <c r="J207" s="747">
        <f>-'Financial Model'!J35</f>
        <v/>
      </c>
      <c r="K207" s="747">
        <f>Support!$G$23</f>
        <v/>
      </c>
      <c r="L207" s="748">
        <f>$J$208*'Financial Model'!K50</f>
        <v/>
      </c>
      <c r="M207" s="748">
        <f>$J$208*'Financial Model'!L50</f>
        <v/>
      </c>
      <c r="N207" s="748">
        <f>$J$208*'Financial Model'!M50</f>
        <v/>
      </c>
      <c r="O207" s="748">
        <f>$J$208*'Financial Model'!N50</f>
        <v/>
      </c>
      <c r="P207" s="748">
        <f>$J$208*'Financial Model'!O50</f>
        <v/>
      </c>
      <c r="Q207" s="748">
        <f>$J$208*'Financial Model'!P50</f>
        <v/>
      </c>
      <c r="R207" s="748">
        <f>$J$208*'Financial Model'!Q50</f>
        <v/>
      </c>
      <c r="S207" s="748">
        <f>$J$208*'Financial Model'!R50</f>
        <v/>
      </c>
      <c r="T207" s="748">
        <f>$J$208*'Financial Model'!S50</f>
        <v/>
      </c>
      <c r="V207" t="inlineStr">
        <is>
          <t>FY27E $110M memo (after ACV cash). FY28E+ = FY26 yield x opening cash.</t>
        </is>
      </c>
    </row>
    <row r="208">
      <c r="C208" s="741" t="inlineStr">
        <is>
          <t>FY26 realized yield on average cash &amp; securities</t>
        </is>
      </c>
      <c r="J208" s="749">
        <f>181.923/AVERAGE('Financial Model'!I50:J50)</f>
        <v/>
      </c>
    </row>
    <row r="209">
      <c r="C209" s="741" t="inlineStr">
        <is>
          <t>Stated minimum cash &amp; securities ($M)</t>
        </is>
      </c>
      <c r="K209" s="746" t="n">
        <v>4000</v>
      </c>
      <c r="L209" s="748">
        <f>K209</f>
        <v/>
      </c>
      <c r="M209" s="748">
        <f>L209</f>
        <v/>
      </c>
      <c r="N209" s="748">
        <f>M209</f>
        <v/>
      </c>
      <c r="O209" s="748">
        <f>N209</f>
        <v/>
      </c>
      <c r="P209" s="748">
        <f>O209</f>
        <v/>
      </c>
      <c r="Q209" s="748">
        <f>P209</f>
        <v/>
      </c>
      <c r="R209" s="748">
        <f>Q209</f>
        <v/>
      </c>
      <c r="S209" s="748">
        <f>R209</f>
        <v/>
      </c>
      <c r="T209" s="748">
        <f>S209</f>
        <v/>
      </c>
      <c r="V209" t="inlineStr">
        <is>
          <t>Stated minimum: Copart bought no stock FY23-FY25 while cash &amp; securities were $2.4B-$4.8B and first repurchased in FY26 from $4.8B. Result: no FY27E buyback (&lt; FY26 $1.6B).</t>
        </is>
      </c>
    </row>
    <row r="210">
      <c r="C210" s="741" t="inlineStr">
        <is>
          <t>Share buybacks ($M)</t>
        </is>
      </c>
      <c r="K210" s="748">
        <f>MAX(0,'Financial Model'!J136+'Financial Model'!K116+'Financial Model'!K121+SUM('Financial Model'!K126:K131)-K209)</f>
        <v/>
      </c>
      <c r="L210" s="748">
        <f>MAX(0,'Financial Model'!K136+'Financial Model'!L116+'Financial Model'!L121+SUM('Financial Model'!L126:L131)-L209)</f>
        <v/>
      </c>
      <c r="M210" s="748">
        <f>MAX(0,'Financial Model'!L136+'Financial Model'!M116+'Financial Model'!M121+SUM('Financial Model'!M126:M131)-M209)</f>
        <v/>
      </c>
      <c r="N210" s="748">
        <f>MAX(0,'Financial Model'!M136+'Financial Model'!N116+'Financial Model'!N121+SUM('Financial Model'!N126:N131)-N209)</f>
        <v/>
      </c>
      <c r="O210" s="748">
        <f>MAX(0,'Financial Model'!N136+'Financial Model'!O116+'Financial Model'!O121+SUM('Financial Model'!O126:O131)-O209)</f>
        <v/>
      </c>
      <c r="P210" s="748">
        <f>MAX(0,'Financial Model'!O136+'Financial Model'!P116+'Financial Model'!P121+SUM('Financial Model'!P126:P131)-P209)</f>
        <v/>
      </c>
      <c r="Q210" s="748">
        <f>MAX(0,'Financial Model'!P136+'Financial Model'!Q116+'Financial Model'!Q121+SUM('Financial Model'!Q126:Q131)-Q209)</f>
        <v/>
      </c>
      <c r="R210" s="748">
        <f>MAX(0,'Financial Model'!Q136+'Financial Model'!R116+'Financial Model'!R121+SUM('Financial Model'!R126:R131)-R209)</f>
        <v/>
      </c>
      <c r="S210" s="748">
        <f>MAX(0,'Financial Model'!R136+'Financial Model'!S116+'Financial Model'!S121+SUM('Financial Model'!S126:S131)-S209)</f>
        <v/>
      </c>
      <c r="T210" s="748">
        <f>MAX(0,'Financial Model'!S136+'Financial Model'!T116+'Financial Model'!T121+SUM('Financial Model'!T126:T131)-T209)</f>
        <v/>
      </c>
    </row>
    <row r="211">
      <c r="C211" s="741" t="inlineStr">
        <is>
          <t>Assumed repurchase price ($)</t>
        </is>
      </c>
      <c r="K211" s="750">
        <f>Support!$D$4</f>
        <v/>
      </c>
      <c r="L211" s="751">
        <f>Support!$G$24*K216</f>
        <v/>
      </c>
      <c r="M211" s="751">
        <f>Support!$G$24*L216</f>
        <v/>
      </c>
      <c r="N211" s="751">
        <f>Support!$G$24*M216</f>
        <v/>
      </c>
      <c r="O211" s="751">
        <f>Support!$G$24*N216</f>
        <v/>
      </c>
      <c r="P211" s="751">
        <f>Support!$G$24*O216</f>
        <v/>
      </c>
      <c r="Q211" s="751">
        <f>Support!$G$24*P216</f>
        <v/>
      </c>
      <c r="R211" s="751">
        <f>Support!$G$24*Q216</f>
        <v/>
      </c>
      <c r="S211" s="751">
        <f>Support!$G$24*R216</f>
        <v/>
      </c>
      <c r="T211" s="751">
        <f>Support!$G$24*S216</f>
        <v/>
      </c>
    </row>
    <row r="212">
      <c r="C212" s="741" t="inlineStr">
        <is>
          <t>Shares repurchased (M)</t>
        </is>
      </c>
      <c r="K212" s="745">
        <f>K210/K211</f>
        <v/>
      </c>
      <c r="L212" s="745">
        <f>L210/L211</f>
        <v/>
      </c>
      <c r="M212" s="745">
        <f>M210/M211</f>
        <v/>
      </c>
      <c r="N212" s="745">
        <f>N210/N211</f>
        <v/>
      </c>
      <c r="O212" s="745">
        <f>O210/O211</f>
        <v/>
      </c>
      <c r="P212" s="745">
        <f>P210/P211</f>
        <v/>
      </c>
      <c r="Q212" s="745">
        <f>Q210/Q211</f>
        <v/>
      </c>
      <c r="R212" s="745">
        <f>R210/R211</f>
        <v/>
      </c>
      <c r="S212" s="745">
        <f>S210/S211</f>
        <v/>
      </c>
      <c r="T212" s="745">
        <f>T210/T211</f>
        <v/>
      </c>
    </row>
    <row r="213">
      <c r="C213" s="741" t="inlineStr">
        <is>
          <t>SBC share issuance (M)</t>
        </is>
      </c>
      <c r="K213" s="745">
        <f>'Financial Model'!K101/K211</f>
        <v/>
      </c>
      <c r="L213" s="745">
        <f>'Financial Model'!L101/L211</f>
        <v/>
      </c>
      <c r="M213" s="745">
        <f>'Financial Model'!M101/M211</f>
        <v/>
      </c>
      <c r="N213" s="745">
        <f>'Financial Model'!N101/N211</f>
        <v/>
      </c>
      <c r="O213" s="745">
        <f>'Financial Model'!O101/O211</f>
        <v/>
      </c>
      <c r="P213" s="745">
        <f>'Financial Model'!P101/P211</f>
        <v/>
      </c>
      <c r="Q213" s="745">
        <f>'Financial Model'!Q101/Q211</f>
        <v/>
      </c>
      <c r="R213" s="745">
        <f>'Financial Model'!R101/R211</f>
        <v/>
      </c>
      <c r="S213" s="745">
        <f>'Financial Model'!S101/S211</f>
        <v/>
      </c>
      <c r="T213" s="745">
        <f>'Financial Model'!T101/T211</f>
        <v/>
      </c>
    </row>
    <row r="214">
      <c r="C214" s="741" t="inlineStr">
        <is>
          <t>Period-end diluted shares (M)</t>
        </is>
      </c>
      <c r="J214" s="752" t="n">
        <v>932.14</v>
      </c>
      <c r="K214" s="745">
        <f>J214+K213-K212</f>
        <v/>
      </c>
      <c r="L214" s="745">
        <f>K214+L213-L212</f>
        <v/>
      </c>
      <c r="M214" s="745">
        <f>L214+M213-M212</f>
        <v/>
      </c>
      <c r="N214" s="745">
        <f>M214+N213-N212</f>
        <v/>
      </c>
      <c r="O214" s="745">
        <f>N214+O213-O212</f>
        <v/>
      </c>
      <c r="P214" s="745">
        <f>O214+P213-P212</f>
        <v/>
      </c>
      <c r="Q214" s="745">
        <f>P214+Q213-Q212</f>
        <v/>
      </c>
      <c r="R214" s="745">
        <f>Q214+R213-R212</f>
        <v/>
      </c>
      <c r="S214" s="745">
        <f>R214+S213-S212</f>
        <v/>
      </c>
      <c r="T214" s="745">
        <f>S214+T213-T212</f>
        <v/>
      </c>
      <c r="V214" t="inlineStr">
        <is>
          <t>FY26 = Q4 FY26 diluted weighted-average shares (932.140M), i.e. FY26 diluted W.A. 956.860M rolled for actual FY26 buybacks.</t>
        </is>
      </c>
    </row>
    <row r="215">
      <c r="C215" s="741" t="inlineStr">
        <is>
          <t>Diluted weighted-average shares (M)</t>
        </is>
      </c>
      <c r="G215" s="752" t="n">
        <v>966.647</v>
      </c>
      <c r="H215" s="752" t="n">
        <v>974.798</v>
      </c>
      <c r="I215" s="752" t="n">
        <v>977.563</v>
      </c>
      <c r="J215" s="752" t="n">
        <v>956.86</v>
      </c>
      <c r="K215" s="745">
        <f>AVERAGE(J214,K214)</f>
        <v/>
      </c>
      <c r="L215" s="745">
        <f>AVERAGE(K214,L214)</f>
        <v/>
      </c>
      <c r="M215" s="745">
        <f>AVERAGE(L214,M214)</f>
        <v/>
      </c>
      <c r="N215" s="745">
        <f>AVERAGE(M214,N214)</f>
        <v/>
      </c>
      <c r="O215" s="745">
        <f>AVERAGE(N214,O214)</f>
        <v/>
      </c>
      <c r="P215" s="745">
        <f>AVERAGE(O214,P214)</f>
        <v/>
      </c>
      <c r="Q215" s="745">
        <f>AVERAGE(P214,Q214)</f>
        <v/>
      </c>
      <c r="R215" s="745">
        <f>AVERAGE(Q214,R214)</f>
        <v/>
      </c>
      <c r="S215" s="745">
        <f>AVERAGE(R214,S214)</f>
        <v/>
      </c>
      <c r="T215" s="745">
        <f>AVERAGE(S214,T214)</f>
        <v/>
      </c>
      <c r="V215" t="inlineStr">
        <is>
          <t>FY23-FY26 diluted W.A. shares per earnings releases.</t>
        </is>
      </c>
    </row>
    <row r="216">
      <c r="C216" s="741" t="inlineStr">
        <is>
          <t>Diluted EPS ($)</t>
        </is>
      </c>
      <c r="G216" s="751">
        <f>'Financial Model'!G41/G215</f>
        <v/>
      </c>
      <c r="H216" s="751">
        <f>'Financial Model'!H41/H215</f>
        <v/>
      </c>
      <c r="I216" s="751">
        <f>'Financial Model'!I41/I215</f>
        <v/>
      </c>
      <c r="J216" s="751">
        <f>'Financial Model'!J41/J215</f>
        <v/>
      </c>
      <c r="K216" s="751">
        <f>'Financial Model'!K41/K215</f>
        <v/>
      </c>
      <c r="L216" s="751">
        <f>'Financial Model'!L41/L215</f>
        <v/>
      </c>
      <c r="M216" s="751">
        <f>'Financial Model'!M41/M215</f>
        <v/>
      </c>
      <c r="N216" s="751">
        <f>'Financial Model'!N41/N215</f>
        <v/>
      </c>
      <c r="O216" s="751">
        <f>'Financial Model'!O41/O215</f>
        <v/>
      </c>
      <c r="P216" s="751">
        <f>'Financial Model'!P41/P215</f>
        <v/>
      </c>
      <c r="Q216" s="751">
        <f>'Financial Model'!Q41/Q215</f>
        <v/>
      </c>
      <c r="R216" s="751">
        <f>'Financial Model'!R41/R215</f>
        <v/>
      </c>
      <c r="S216" s="751">
        <f>'Financial Model'!S41/S215</f>
        <v/>
      </c>
      <c r="T216" s="751">
        <f>'Financial Model'!T41/T215</f>
        <v/>
      </c>
    </row>
    <row r="217">
      <c r="C217" s="741" t="inlineStr">
        <is>
          <t>IAA units (M, implied by memo share)</t>
        </is>
      </c>
      <c r="I217" s="753">
        <f>Support!$D$71</f>
        <v/>
      </c>
      <c r="J217" s="753">
        <f>Support!$D$72</f>
        <v/>
      </c>
      <c r="V217" t="inlineStr">
        <is>
          <t>Implied by memo share (63.9%) and IAA +5.4%; forecast left blank (no sourced IAA forecast).</t>
        </is>
      </c>
    </row>
    <row r="218">
      <c r="C218" s="741" t="inlineStr">
        <is>
          <t>Copart share of Copart + IAA units (KPI 3)</t>
        </is>
      </c>
      <c r="I218" s="743">
        <f>Support!$D$67</f>
        <v/>
      </c>
      <c r="J218" s="743">
        <f>Support!$D$74</f>
        <v/>
      </c>
    </row>
  </sheetData>
  <pageMargins left="0.7" right="0.7" top="0.75" bottom="0.75" header="0.3" footer="0.3"/>
  <pageSetup orientation="portrait" scale="29"/>
</worksheet>
</file>

<file path=xl/worksheets/sheet12.xml><?xml version="1.0" encoding="utf-8"?>
<worksheet xmlns="http://schemas.openxmlformats.org/spreadsheetml/2006/main">
  <sheetPr>
    <tabColor theme="0" tint="-0.0499893185216834"/>
    <outlinePr summaryBelow="1" summaryRight="1"/>
    <pageSetUpPr/>
  </sheetPr>
  <dimension ref="A1:T177"/>
  <sheetViews>
    <sheetView showGridLines="0" view="pageBreakPreview" zoomScale="55" zoomScaleNormal="100" zoomScaleSheetLayoutView="55" workbookViewId="0">
      <selection activeCell="A1" sqref="A1"/>
    </sheetView>
  </sheetViews>
  <sheetFormatPr baseColWidth="8" defaultColWidth="0" defaultRowHeight="13.5" zeroHeight="1" outlineLevelRow="1"/>
  <cols>
    <col width="1.59765625" customWidth="1" style="216" min="1" max="1"/>
    <col width="1.59765625" customWidth="1" style="8" min="2" max="2"/>
    <col width="9.19921875" customWidth="1" style="8" min="3" max="6"/>
    <col width="10.59765625" customWidth="1" style="8" min="7" max="13"/>
    <col outlineLevel="1" width="10.59765625" customWidth="1" style="8" min="14" max="20"/>
    <col outlineLevel="1" width="1.59765625" customWidth="1" style="8" min="21" max="21"/>
    <col width="1.59765625" customWidth="1" style="8" min="22" max="22"/>
    <col hidden="1" width="9.19921875" customWidth="1" style="8" min="23" max="23"/>
    <col hidden="1" width="9.19921875" customWidth="1" style="8" min="24" max="16384"/>
  </cols>
  <sheetData>
    <row r="1" ht="15" customHeight="1">
      <c r="D1" s="673" t="n"/>
      <c r="K1" s="218">
        <f>YEAR('Historical Financials'!J1)+1</f>
        <v/>
      </c>
      <c r="L1" s="191">
        <f>K1+1</f>
        <v/>
      </c>
      <c r="M1" s="191">
        <f>L1+1</f>
        <v/>
      </c>
      <c r="N1" s="191">
        <f>M1+1</f>
        <v/>
      </c>
      <c r="O1" s="191">
        <f>N1+1</f>
        <v/>
      </c>
      <c r="P1" s="191">
        <f>O1+1</f>
        <v/>
      </c>
      <c r="Q1" s="191">
        <f>P1+1</f>
        <v/>
      </c>
      <c r="R1" s="191">
        <f>Q1+1</f>
        <v/>
      </c>
      <c r="S1" s="191">
        <f>R1+1</f>
        <v/>
      </c>
      <c r="T1" s="191">
        <f>S1+1</f>
        <v/>
      </c>
    </row>
    <row r="2" ht="15" customHeight="1"/>
    <row r="3" ht="14.55" customHeight="1">
      <c r="C3" s="210">
        <f>Assumptions!G5</f>
        <v/>
      </c>
      <c r="D3" s="54" t="n"/>
      <c r="E3" s="54" t="n"/>
      <c r="F3" s="54" t="n"/>
      <c r="G3" s="54" t="n"/>
      <c r="H3" s="54" t="n"/>
      <c r="I3" s="54" t="n"/>
      <c r="J3" s="55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5" t="n"/>
    </row>
    <row r="4" ht="14.55" customHeight="1">
      <c r="A4" s="7" t="inlineStr">
        <is>
          <t>X</t>
        </is>
      </c>
      <c r="C4" s="210" t="inlineStr">
        <is>
          <t>Multiples &amp; Ratios</t>
        </is>
      </c>
      <c r="D4" s="54" t="n"/>
      <c r="E4" s="54" t="n"/>
      <c r="F4" s="54" t="n"/>
      <c r="G4" s="54" t="n"/>
      <c r="H4" s="54" t="n"/>
      <c r="I4" s="54" t="n"/>
      <c r="J4" s="211" t="inlineStr">
        <is>
          <t>FY26A / LTM</t>
        </is>
      </c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5" t="n"/>
    </row>
    <row r="5" ht="14.55" customHeight="1">
      <c r="A5" s="7" t="n"/>
      <c r="C5" s="210">
        <f>Assumptions!$G$9</f>
        <v/>
      </c>
      <c r="D5" s="54" t="n"/>
      <c r="E5" s="54" t="n"/>
      <c r="F5" s="54" t="n"/>
      <c r="G5" s="54">
        <f>'Historical Financials'!G5</f>
        <v/>
      </c>
      <c r="H5" s="54">
        <f>'Historical Financials'!H5</f>
        <v/>
      </c>
      <c r="I5" s="54">
        <f>'Historical Financials'!I5</f>
        <v/>
      </c>
      <c r="J5" s="674">
        <f>'Historical Financials'!J5</f>
        <v/>
      </c>
      <c r="K5" s="54">
        <f>"FY"&amp;K$1&amp;"E"</f>
        <v/>
      </c>
      <c r="L5" s="54">
        <f>"FY"&amp;L$1&amp;"E"</f>
        <v/>
      </c>
      <c r="M5" s="54">
        <f>"FY"&amp;M$1&amp;"E"</f>
        <v/>
      </c>
      <c r="N5" s="54">
        <f>"FY"&amp;N$1&amp;"E"</f>
        <v/>
      </c>
      <c r="O5" s="54">
        <f>"FY"&amp;O$1&amp;"E"</f>
        <v/>
      </c>
      <c r="P5" s="54">
        <f>"FY"&amp;P$1&amp;"E"</f>
        <v/>
      </c>
      <c r="Q5" s="54">
        <f>"FY"&amp;Q$1&amp;"E"</f>
        <v/>
      </c>
      <c r="R5" s="54">
        <f>"FY"&amp;R$1&amp;"E"</f>
        <v/>
      </c>
      <c r="S5" s="54">
        <f>"FY"&amp;S$1&amp;"E"</f>
        <v/>
      </c>
      <c r="T5" s="55">
        <f>"FY"&amp;T$1&amp;"E"</f>
        <v/>
      </c>
    </row>
    <row r="6" ht="14.25" customHeight="1">
      <c r="A6" s="7" t="n"/>
      <c r="C6" s="219" t="n"/>
      <c r="D6" s="219" t="n"/>
      <c r="E6" s="219" t="n"/>
      <c r="F6" s="219" t="n"/>
      <c r="G6" s="186" t="n"/>
      <c r="H6" s="186" t="n"/>
      <c r="I6" s="186" t="n"/>
      <c r="J6" s="186" t="n"/>
      <c r="K6" s="187" t="n"/>
      <c r="L6" s="186" t="n"/>
      <c r="M6" s="186" t="n"/>
      <c r="N6" s="186" t="n"/>
      <c r="O6" s="186" t="n"/>
      <c r="P6" s="186" t="n"/>
      <c r="Q6" s="186" t="n"/>
      <c r="R6" s="186" t="n"/>
      <c r="S6" s="186" t="n"/>
      <c r="T6" s="186" t="n"/>
    </row>
    <row r="7" ht="14.25" customHeight="1">
      <c r="A7" s="7" t="n"/>
      <c r="C7" s="379" t="inlineStr">
        <is>
          <t>Valuation</t>
        </is>
      </c>
      <c r="D7" s="300" t="n"/>
      <c r="E7" s="300" t="n"/>
      <c r="F7" s="300" t="n"/>
      <c r="G7" s="732" t="n"/>
      <c r="H7" s="732" t="n"/>
      <c r="I7" s="732" t="n"/>
      <c r="J7" s="732" t="n"/>
      <c r="K7" s="754" t="n"/>
      <c r="L7" s="732" t="n"/>
      <c r="M7" s="732" t="n"/>
      <c r="N7" s="732" t="n"/>
      <c r="O7" s="732" t="n"/>
      <c r="P7" s="732" t="n"/>
      <c r="Q7" s="732" t="n"/>
      <c r="R7" s="732" t="n"/>
      <c r="S7" s="732" t="n"/>
      <c r="T7" s="732" t="n"/>
    </row>
    <row r="8" ht="14.25" customHeight="1">
      <c r="A8" s="8" t="n"/>
      <c r="C8" s="380" t="inlineStr">
        <is>
          <t>EV / Sales</t>
        </is>
      </c>
      <c r="G8" s="755">
        <f>G55/G66</f>
        <v/>
      </c>
      <c r="H8" s="755">
        <f>H55/H66</f>
        <v/>
      </c>
      <c r="I8" s="755">
        <f>I55/I66</f>
        <v/>
      </c>
      <c r="J8" s="755">
        <f>J55/J66</f>
        <v/>
      </c>
      <c r="K8" s="756">
        <f>K55/K66</f>
        <v/>
      </c>
      <c r="L8" s="755">
        <f>L55/L66</f>
        <v/>
      </c>
      <c r="M8" s="755">
        <f>M55/M66</f>
        <v/>
      </c>
      <c r="N8" s="755">
        <f>N55/N66</f>
        <v/>
      </c>
      <c r="O8" s="755">
        <f>O55/O66</f>
        <v/>
      </c>
      <c r="P8" s="755">
        <f>P55/P66</f>
        <v/>
      </c>
      <c r="Q8" s="755">
        <f>Q55/Q66</f>
        <v/>
      </c>
      <c r="R8" s="755">
        <f>R55/R66</f>
        <v/>
      </c>
      <c r="S8" s="755">
        <f>S55/S66</f>
        <v/>
      </c>
      <c r="T8" s="755">
        <f>T55/T66</f>
        <v/>
      </c>
    </row>
    <row r="9" ht="15" customHeight="1">
      <c r="A9" s="8" t="n"/>
      <c r="C9" s="380" t="inlineStr">
        <is>
          <t>EV / EBITDA</t>
        </is>
      </c>
      <c r="G9" s="755">
        <f>G55/G68</f>
        <v/>
      </c>
      <c r="H9" s="755">
        <f>H55/H68</f>
        <v/>
      </c>
      <c r="I9" s="755">
        <f>I55/I68</f>
        <v/>
      </c>
      <c r="J9" s="755">
        <f>J55/J68</f>
        <v/>
      </c>
      <c r="K9" s="756">
        <f>K55/K68</f>
        <v/>
      </c>
      <c r="L9" s="755">
        <f>L55/L68</f>
        <v/>
      </c>
      <c r="M9" s="755">
        <f>M55/M68</f>
        <v/>
      </c>
      <c r="N9" s="755">
        <f>N55/N68</f>
        <v/>
      </c>
      <c r="O9" s="755">
        <f>O55/O68</f>
        <v/>
      </c>
      <c r="P9" s="755">
        <f>P55/P68</f>
        <v/>
      </c>
      <c r="Q9" s="755">
        <f>Q55/Q68</f>
        <v/>
      </c>
      <c r="R9" s="755">
        <f>R55/R68</f>
        <v/>
      </c>
      <c r="S9" s="755">
        <f>S55/S68</f>
        <v/>
      </c>
      <c r="T9" s="755">
        <f>T55/T68</f>
        <v/>
      </c>
    </row>
    <row r="10" ht="15" customHeight="1">
      <c r="A10" s="8" t="n"/>
      <c r="C10" s="380" t="inlineStr">
        <is>
          <t>EV / FCFF</t>
        </is>
      </c>
      <c r="G10" s="755">
        <f>G55/G71</f>
        <v/>
      </c>
      <c r="H10" s="755">
        <f>H55/H71</f>
        <v/>
      </c>
      <c r="I10" s="755">
        <f>I55/I71</f>
        <v/>
      </c>
      <c r="J10" s="755">
        <f>J55/J71</f>
        <v/>
      </c>
      <c r="K10" s="756">
        <f>K55/K71</f>
        <v/>
      </c>
      <c r="L10" s="755">
        <f>L55/L71</f>
        <v/>
      </c>
      <c r="M10" s="755">
        <f>M55/M71</f>
        <v/>
      </c>
      <c r="N10" s="755">
        <f>N55/N71</f>
        <v/>
      </c>
      <c r="O10" s="755">
        <f>O55/O71</f>
        <v/>
      </c>
      <c r="P10" s="755">
        <f>P55/P71</f>
        <v/>
      </c>
      <c r="Q10" s="755">
        <f>Q55/Q71</f>
        <v/>
      </c>
      <c r="R10" s="755">
        <f>R55/R71</f>
        <v/>
      </c>
      <c r="S10" s="755">
        <f>S55/S71</f>
        <v/>
      </c>
      <c r="T10" s="755">
        <f>T55/T71</f>
        <v/>
      </c>
    </row>
    <row r="11" ht="14.25" customHeight="1">
      <c r="A11" s="8" t="n"/>
      <c r="C11" s="380" t="inlineStr">
        <is>
          <t>P / E</t>
        </is>
      </c>
      <c r="G11" s="755">
        <f>G52/G70</f>
        <v/>
      </c>
      <c r="H11" s="755">
        <f>H52/H70</f>
        <v/>
      </c>
      <c r="I11" s="755">
        <f>I52/I70</f>
        <v/>
      </c>
      <c r="J11" s="755">
        <f>J52/J70</f>
        <v/>
      </c>
      <c r="K11" s="756">
        <f>K52/K70</f>
        <v/>
      </c>
      <c r="L11" s="755">
        <f>L52/L70</f>
        <v/>
      </c>
      <c r="M11" s="755">
        <f>M52/M70</f>
        <v/>
      </c>
      <c r="N11" s="755">
        <f>N52/N70</f>
        <v/>
      </c>
      <c r="O11" s="755">
        <f>O52/O70</f>
        <v/>
      </c>
      <c r="P11" s="755">
        <f>P52/P70</f>
        <v/>
      </c>
      <c r="Q11" s="755">
        <f>Q52/Q70</f>
        <v/>
      </c>
      <c r="R11" s="755">
        <f>R52/R70</f>
        <v/>
      </c>
      <c r="S11" s="755">
        <f>S52/S70</f>
        <v/>
      </c>
      <c r="T11" s="755">
        <f>T52/T70</f>
        <v/>
      </c>
    </row>
    <row r="12" ht="14.25" customHeight="1">
      <c r="A12" s="8" t="n"/>
      <c r="K12" s="299" t="n"/>
    </row>
    <row r="13" ht="15" customHeight="1">
      <c r="A13" s="8" t="n"/>
      <c r="C13" s="379" t="inlineStr">
        <is>
          <t>Profitability</t>
        </is>
      </c>
      <c r="D13" s="300" t="n"/>
      <c r="E13" s="300" t="n"/>
      <c r="F13" s="300" t="n"/>
      <c r="G13" s="732" t="n"/>
      <c r="H13" s="732" t="n"/>
      <c r="I13" s="732" t="n"/>
      <c r="J13" s="732" t="n"/>
      <c r="K13" s="754" t="n"/>
      <c r="L13" s="732" t="n"/>
      <c r="M13" s="732" t="n"/>
      <c r="N13" s="732" t="n"/>
      <c r="O13" s="732" t="n"/>
      <c r="P13" s="732" t="n"/>
      <c r="Q13" s="732" t="n"/>
      <c r="R13" s="732" t="n"/>
      <c r="S13" s="732" t="n"/>
      <c r="T13" s="732" t="n"/>
    </row>
    <row r="14" ht="14.25" customHeight="1">
      <c r="A14" s="8" t="n"/>
      <c r="C14" s="381">
        <f>'Financial Model'!C19</f>
        <v/>
      </c>
      <c r="G14" s="382">
        <f>'Financial Model'!G19</f>
        <v/>
      </c>
      <c r="H14" s="382">
        <f>'Financial Model'!H19</f>
        <v/>
      </c>
      <c r="I14" s="382">
        <f>'Financial Model'!I19</f>
        <v/>
      </c>
      <c r="J14" s="382">
        <f>'Financial Model'!J19</f>
        <v/>
      </c>
      <c r="K14" s="404">
        <f>'Financial Model'!K19</f>
        <v/>
      </c>
      <c r="L14" s="382">
        <f>'Financial Model'!L19</f>
        <v/>
      </c>
      <c r="M14" s="382">
        <f>'Financial Model'!M19</f>
        <v/>
      </c>
      <c r="N14" s="382">
        <f>'Financial Model'!N19</f>
        <v/>
      </c>
      <c r="O14" s="382">
        <f>'Financial Model'!O19</f>
        <v/>
      </c>
      <c r="P14" s="382">
        <f>'Financial Model'!P19</f>
        <v/>
      </c>
      <c r="Q14" s="382">
        <f>'Financial Model'!Q19</f>
        <v/>
      </c>
      <c r="R14" s="382">
        <f>'Financial Model'!R19</f>
        <v/>
      </c>
      <c r="S14" s="382">
        <f>'Financial Model'!S19</f>
        <v/>
      </c>
      <c r="T14" s="382">
        <f>'Financial Model'!T19</f>
        <v/>
      </c>
    </row>
    <row r="15" ht="14.25" customHeight="1">
      <c r="A15" s="8" t="n"/>
      <c r="C15" s="381">
        <f>'Financial Model'!C28</f>
        <v/>
      </c>
      <c r="D15" s="382" t="n"/>
      <c r="E15" s="382" t="n"/>
      <c r="F15" s="382" t="n"/>
      <c r="G15" s="382">
        <f>'Financial Model'!G28</f>
        <v/>
      </c>
      <c r="H15" s="382">
        <f>'Financial Model'!H28</f>
        <v/>
      </c>
      <c r="I15" s="382">
        <f>'Financial Model'!I28</f>
        <v/>
      </c>
      <c r="J15" s="382">
        <f>'Financial Model'!J28</f>
        <v/>
      </c>
      <c r="K15" s="404">
        <f>'Financial Model'!K28</f>
        <v/>
      </c>
      <c r="L15" s="382">
        <f>'Financial Model'!L28</f>
        <v/>
      </c>
      <c r="M15" s="382">
        <f>'Financial Model'!M28</f>
        <v/>
      </c>
      <c r="N15" s="382">
        <f>'Financial Model'!N28</f>
        <v/>
      </c>
      <c r="O15" s="382">
        <f>'Financial Model'!O28</f>
        <v/>
      </c>
      <c r="P15" s="382">
        <f>'Financial Model'!P28</f>
        <v/>
      </c>
      <c r="Q15" s="382">
        <f>'Financial Model'!Q28</f>
        <v/>
      </c>
      <c r="R15" s="382">
        <f>'Financial Model'!R28</f>
        <v/>
      </c>
      <c r="S15" s="382">
        <f>'Financial Model'!S28</f>
        <v/>
      </c>
      <c r="T15" s="382">
        <f>'Financial Model'!T28</f>
        <v/>
      </c>
    </row>
    <row r="16" ht="14.25" customHeight="1">
      <c r="A16" s="8" t="n"/>
      <c r="C16" s="381">
        <f>'Financial Model'!C42</f>
        <v/>
      </c>
      <c r="D16" s="382" t="n"/>
      <c r="E16" s="382" t="n"/>
      <c r="F16" s="382" t="n"/>
      <c r="G16" s="382">
        <f>'Financial Model'!G42</f>
        <v/>
      </c>
      <c r="H16" s="382">
        <f>'Financial Model'!H42</f>
        <v/>
      </c>
      <c r="I16" s="382">
        <f>'Financial Model'!I42</f>
        <v/>
      </c>
      <c r="J16" s="382">
        <f>'Financial Model'!J42</f>
        <v/>
      </c>
      <c r="K16" s="404">
        <f>'Financial Model'!K42</f>
        <v/>
      </c>
      <c r="L16" s="382">
        <f>'Financial Model'!L42</f>
        <v/>
      </c>
      <c r="M16" s="382">
        <f>'Financial Model'!M42</f>
        <v/>
      </c>
      <c r="N16" s="382">
        <f>'Financial Model'!N42</f>
        <v/>
      </c>
      <c r="O16" s="382">
        <f>'Financial Model'!O42</f>
        <v/>
      </c>
      <c r="P16" s="382">
        <f>'Financial Model'!P42</f>
        <v/>
      </c>
      <c r="Q16" s="382">
        <f>'Financial Model'!Q42</f>
        <v/>
      </c>
      <c r="R16" s="382">
        <f>'Financial Model'!R42</f>
        <v/>
      </c>
      <c r="S16" s="382">
        <f>'Financial Model'!S42</f>
        <v/>
      </c>
      <c r="T16" s="382">
        <f>'Financial Model'!T42</f>
        <v/>
      </c>
    </row>
    <row r="17" ht="15" customHeight="1">
      <c r="A17" s="8" t="n"/>
      <c r="C17" s="380" t="inlineStr">
        <is>
          <t>FCF Margin</t>
        </is>
      </c>
      <c r="G17" s="382">
        <f>Summary!G25</f>
        <v/>
      </c>
      <c r="H17" s="382">
        <f>Summary!H25</f>
        <v/>
      </c>
      <c r="I17" s="382">
        <f>Summary!I25</f>
        <v/>
      </c>
      <c r="J17" s="382">
        <f>Summary!J25</f>
        <v/>
      </c>
      <c r="K17" s="404">
        <f>Summary!K25</f>
        <v/>
      </c>
      <c r="L17" s="382">
        <f>Summary!L25</f>
        <v/>
      </c>
      <c r="M17" s="382">
        <f>Summary!M25</f>
        <v/>
      </c>
      <c r="N17" s="382">
        <f>Summary!N25</f>
        <v/>
      </c>
      <c r="O17" s="382">
        <f>Summary!O25</f>
        <v/>
      </c>
      <c r="P17" s="382">
        <f>Summary!P25</f>
        <v/>
      </c>
      <c r="Q17" s="382">
        <f>Summary!Q25</f>
        <v/>
      </c>
      <c r="R17" s="382">
        <f>Summary!R25</f>
        <v/>
      </c>
      <c r="S17" s="382">
        <f>Summary!S25</f>
        <v/>
      </c>
      <c r="T17" s="382">
        <f>Summary!T25</f>
        <v/>
      </c>
    </row>
    <row r="18" ht="14.25" customHeight="1">
      <c r="A18" s="8" t="n"/>
      <c r="K18" s="299" t="n"/>
    </row>
    <row r="19" ht="15" customHeight="1">
      <c r="A19" s="8" t="n"/>
      <c r="C19" s="379" t="inlineStr">
        <is>
          <t>KPIs</t>
        </is>
      </c>
      <c r="D19" s="300" t="n"/>
      <c r="E19" s="300" t="n"/>
      <c r="F19" s="300" t="n"/>
      <c r="G19" s="732" t="n"/>
      <c r="H19" s="732" t="n"/>
      <c r="I19" s="732" t="n"/>
      <c r="J19" s="732" t="n"/>
      <c r="K19" s="754" t="n"/>
      <c r="L19" s="732" t="n"/>
      <c r="M19" s="732" t="n"/>
      <c r="N19" s="732" t="n"/>
      <c r="O19" s="732" t="n"/>
      <c r="P19" s="732" t="n"/>
      <c r="Q19" s="732" t="n"/>
      <c r="R19" s="732" t="n"/>
      <c r="S19" s="732" t="n"/>
      <c r="T19" s="732" t="n"/>
    </row>
    <row r="20" ht="14.25" customHeight="1">
      <c r="A20" s="8" t="n"/>
      <c r="C20" s="380" t="inlineStr">
        <is>
          <t>US insurance unit growth</t>
        </is>
      </c>
      <c r="G20" s="757" t="inlineStr">
        <is>
          <t>n/a</t>
        </is>
      </c>
      <c r="H20" s="758">
        <f>Drivers!H194</f>
        <v/>
      </c>
      <c r="I20" s="758">
        <f>Drivers!I194</f>
        <v/>
      </c>
      <c r="J20" s="758">
        <f>Drivers!J194</f>
        <v/>
      </c>
      <c r="K20" s="759">
        <f>Drivers!K194</f>
        <v/>
      </c>
      <c r="L20" s="758">
        <f>Drivers!L194</f>
        <v/>
      </c>
      <c r="M20" s="758">
        <f>Drivers!M194</f>
        <v/>
      </c>
      <c r="N20" s="758">
        <f>Drivers!N194</f>
        <v/>
      </c>
      <c r="O20" s="758">
        <f>Drivers!O194</f>
        <v/>
      </c>
      <c r="P20" s="758">
        <f>Drivers!P194</f>
        <v/>
      </c>
      <c r="Q20" s="758">
        <f>Drivers!Q194</f>
        <v/>
      </c>
      <c r="R20" s="758">
        <f>Drivers!R194</f>
        <v/>
      </c>
      <c r="S20" s="758">
        <f>Drivers!S194</f>
        <v/>
      </c>
      <c r="T20" s="758">
        <f>Drivers!T194</f>
        <v/>
      </c>
    </row>
    <row r="21" ht="14.25" customHeight="1">
      <c r="A21" s="8" t="n"/>
      <c r="C21" s="380" t="inlineStr">
        <is>
          <t>Revenue per unit growth</t>
        </is>
      </c>
      <c r="G21" s="757" t="inlineStr">
        <is>
          <t>n/a</t>
        </is>
      </c>
      <c r="H21" s="758">
        <f>Drivers!H203</f>
        <v/>
      </c>
      <c r="I21" s="758">
        <f>Drivers!I203</f>
        <v/>
      </c>
      <c r="J21" s="758">
        <f>Drivers!J203</f>
        <v/>
      </c>
      <c r="K21" s="759">
        <f>Drivers!K203</f>
        <v/>
      </c>
      <c r="L21" s="758">
        <f>Drivers!L203</f>
        <v/>
      </c>
      <c r="M21" s="758">
        <f>Drivers!M203</f>
        <v/>
      </c>
      <c r="N21" s="758">
        <f>Drivers!N203</f>
        <v/>
      </c>
      <c r="O21" s="758">
        <f>Drivers!O203</f>
        <v/>
      </c>
      <c r="P21" s="758">
        <f>Drivers!P203</f>
        <v/>
      </c>
      <c r="Q21" s="758">
        <f>Drivers!Q203</f>
        <v/>
      </c>
      <c r="R21" s="758">
        <f>Drivers!R203</f>
        <v/>
      </c>
      <c r="S21" s="758">
        <f>Drivers!S203</f>
        <v/>
      </c>
      <c r="T21" s="758">
        <f>Drivers!T203</f>
        <v/>
      </c>
    </row>
    <row r="22" ht="14.25" customHeight="1">
      <c r="A22" s="8" t="n"/>
      <c r="C22" s="380" t="inlineStr">
        <is>
          <t>Copart share of Copart + IAA units</t>
        </is>
      </c>
      <c r="G22" s="757" t="inlineStr">
        <is>
          <t>n/a</t>
        </is>
      </c>
      <c r="H22" s="757" t="inlineStr">
        <is>
          <t>n/a</t>
        </is>
      </c>
      <c r="I22" s="758">
        <f>Drivers!I218</f>
        <v/>
      </c>
      <c r="J22" s="758">
        <f>Drivers!J218</f>
        <v/>
      </c>
      <c r="K22" s="760" t="inlineStr">
        <is>
          <t>n/a</t>
        </is>
      </c>
      <c r="L22" s="757" t="inlineStr">
        <is>
          <t>n/a</t>
        </is>
      </c>
      <c r="M22" s="757" t="inlineStr">
        <is>
          <t>n/a</t>
        </is>
      </c>
      <c r="N22" s="757" t="inlineStr">
        <is>
          <t>n/a</t>
        </is>
      </c>
      <c r="O22" s="757" t="inlineStr">
        <is>
          <t>n/a</t>
        </is>
      </c>
      <c r="P22" s="757" t="inlineStr">
        <is>
          <t>n/a</t>
        </is>
      </c>
      <c r="Q22" s="757" t="inlineStr">
        <is>
          <t>n/a</t>
        </is>
      </c>
      <c r="R22" s="757" t="inlineStr">
        <is>
          <t>n/a</t>
        </is>
      </c>
      <c r="S22" s="757" t="inlineStr">
        <is>
          <t>n/a</t>
        </is>
      </c>
      <c r="T22" s="757" t="inlineStr">
        <is>
          <t>n/a</t>
        </is>
      </c>
    </row>
    <row r="23" ht="15" customHeight="1">
      <c r="A23" s="8" t="n"/>
      <c r="K23" s="299" t="n"/>
    </row>
    <row r="24" ht="14.25" customHeight="1">
      <c r="A24" s="8" t="n"/>
      <c r="C24" s="379" t="inlineStr">
        <is>
          <t>Investor Returns</t>
        </is>
      </c>
      <c r="D24" s="300" t="n"/>
      <c r="E24" s="300" t="n"/>
      <c r="F24" s="300" t="n"/>
      <c r="G24" s="732" t="n"/>
      <c r="H24" s="732" t="n"/>
      <c r="I24" s="732" t="n"/>
      <c r="J24" s="732" t="n"/>
      <c r="K24" s="754" t="n"/>
      <c r="L24" s="732" t="n"/>
      <c r="M24" s="732" t="n"/>
      <c r="N24" s="732" t="n"/>
      <c r="O24" s="732" t="n"/>
      <c r="P24" s="732" t="n"/>
      <c r="Q24" s="732" t="n"/>
      <c r="R24" s="732" t="n"/>
      <c r="S24" s="732" t="n"/>
      <c r="T24" s="732" t="n"/>
    </row>
    <row r="25" ht="14.25" customHeight="1">
      <c r="A25" s="8" t="n"/>
      <c r="C25" s="380" t="inlineStr">
        <is>
          <t>ROA</t>
        </is>
      </c>
      <c r="G25" s="135">
        <f>G70/G62</f>
        <v/>
      </c>
      <c r="H25" s="135">
        <f>H70/H62</f>
        <v/>
      </c>
      <c r="I25" s="135">
        <f>I70/I62</f>
        <v/>
      </c>
      <c r="J25" s="135">
        <f>J70/J62</f>
        <v/>
      </c>
      <c r="K25" s="405">
        <f>K70/K62</f>
        <v/>
      </c>
      <c r="L25" s="135">
        <f>L70/L62</f>
        <v/>
      </c>
      <c r="M25" s="135">
        <f>M70/M62</f>
        <v/>
      </c>
      <c r="N25" s="135">
        <f>N70/N62</f>
        <v/>
      </c>
      <c r="O25" s="135">
        <f>O70/O62</f>
        <v/>
      </c>
      <c r="P25" s="135">
        <f>P70/P62</f>
        <v/>
      </c>
      <c r="Q25" s="135">
        <f>Q70/Q62</f>
        <v/>
      </c>
      <c r="R25" s="135">
        <f>R70/R62</f>
        <v/>
      </c>
      <c r="S25" s="135">
        <f>S70/S62</f>
        <v/>
      </c>
      <c r="T25" s="135">
        <f>T70/T62</f>
        <v/>
      </c>
    </row>
    <row r="26" ht="14.25" customHeight="1">
      <c r="A26" s="8" t="n"/>
      <c r="C26" s="380" t="inlineStr">
        <is>
          <t>ROE</t>
        </is>
      </c>
      <c r="G26" s="135">
        <f>G70/G64</f>
        <v/>
      </c>
      <c r="H26" s="135">
        <f>H70/H64</f>
        <v/>
      </c>
      <c r="I26" s="135">
        <f>I70/I64</f>
        <v/>
      </c>
      <c r="J26" s="135">
        <f>J70/J64</f>
        <v/>
      </c>
      <c r="K26" s="405">
        <f>K70/K64</f>
        <v/>
      </c>
      <c r="L26" s="135">
        <f>L70/L64</f>
        <v/>
      </c>
      <c r="M26" s="135">
        <f>M70/M64</f>
        <v/>
      </c>
      <c r="N26" s="135">
        <f>N70/N64</f>
        <v/>
      </c>
      <c r="O26" s="135">
        <f>O70/O64</f>
        <v/>
      </c>
      <c r="P26" s="135">
        <f>P70/P64</f>
        <v/>
      </c>
      <c r="Q26" s="135">
        <f>Q70/Q64</f>
        <v/>
      </c>
      <c r="R26" s="135">
        <f>R70/R64</f>
        <v/>
      </c>
      <c r="S26" s="135">
        <f>S70/S64</f>
        <v/>
      </c>
      <c r="T26" s="135">
        <f>T70/T64</f>
        <v/>
      </c>
    </row>
    <row r="27" ht="15" customHeight="1">
      <c r="A27" s="8" t="n"/>
      <c r="C27" s="380" t="inlineStr">
        <is>
          <t>ROIC</t>
        </is>
      </c>
      <c r="G27" s="135">
        <f>G72/SUM(G64,G53)</f>
        <v/>
      </c>
      <c r="H27" s="135">
        <f>H72/SUM(H64,H53)</f>
        <v/>
      </c>
      <c r="I27" s="135">
        <f>I72/SUM(I64,I53)</f>
        <v/>
      </c>
      <c r="J27" s="135">
        <f>J72/SUM(J64,J53)</f>
        <v/>
      </c>
      <c r="K27" s="405">
        <f>K72/SUM(K64,K53)</f>
        <v/>
      </c>
      <c r="L27" s="135">
        <f>L72/SUM(L64,L53)</f>
        <v/>
      </c>
      <c r="M27" s="135">
        <f>M72/SUM(M64,M53)</f>
        <v/>
      </c>
      <c r="N27" s="135">
        <f>N72/SUM(N64,N53)</f>
        <v/>
      </c>
      <c r="O27" s="135">
        <f>O72/SUM(O64,O53)</f>
        <v/>
      </c>
      <c r="P27" s="135">
        <f>P72/SUM(P64,P53)</f>
        <v/>
      </c>
      <c r="Q27" s="135">
        <f>Q72/SUM(Q64,Q53)</f>
        <v/>
      </c>
      <c r="R27" s="135">
        <f>R72/SUM(R64,R53)</f>
        <v/>
      </c>
      <c r="S27" s="135">
        <f>S72/SUM(S64,S53)</f>
        <v/>
      </c>
      <c r="T27" s="135">
        <f>T72/SUM(T64,T53)</f>
        <v/>
      </c>
    </row>
    <row r="28" ht="15" customHeight="1">
      <c r="A28" s="8" t="n"/>
      <c r="C28" s="380" t="inlineStr">
        <is>
          <t>EPS</t>
        </is>
      </c>
      <c r="G28" s="761">
        <f>G70/G57</f>
        <v/>
      </c>
      <c r="H28" s="761">
        <f>H70/H57</f>
        <v/>
      </c>
      <c r="I28" s="761">
        <f>I70/I57</f>
        <v/>
      </c>
      <c r="J28" s="761">
        <f>J70/J57</f>
        <v/>
      </c>
      <c r="K28" s="762">
        <f>K70/K57</f>
        <v/>
      </c>
      <c r="L28" s="761">
        <f>L70/L57</f>
        <v/>
      </c>
      <c r="M28" s="761">
        <f>M70/M57</f>
        <v/>
      </c>
      <c r="N28" s="761">
        <f>N70/N57</f>
        <v/>
      </c>
      <c r="O28" s="761">
        <f>O70/O57</f>
        <v/>
      </c>
      <c r="P28" s="761">
        <f>P70/P57</f>
        <v/>
      </c>
      <c r="Q28" s="761">
        <f>Q70/Q57</f>
        <v/>
      </c>
      <c r="R28" s="761">
        <f>R70/R57</f>
        <v/>
      </c>
      <c r="S28" s="761">
        <f>S70/S57</f>
        <v/>
      </c>
      <c r="T28" s="761">
        <f>T70/T57</f>
        <v/>
      </c>
    </row>
    <row r="29" ht="15" customHeight="1">
      <c r="A29" s="8" t="n"/>
      <c r="K29" s="299" t="n"/>
    </row>
    <row r="30" ht="14.25" customHeight="1">
      <c r="A30" s="8" t="n"/>
      <c r="C30" s="379" t="inlineStr">
        <is>
          <t>Asset Efficiency</t>
        </is>
      </c>
      <c r="D30" s="300" t="n"/>
      <c r="E30" s="300" t="n"/>
      <c r="F30" s="300" t="n"/>
      <c r="G30" s="732" t="n"/>
      <c r="H30" s="732" t="n"/>
      <c r="I30" s="732" t="n"/>
      <c r="J30" s="732" t="n"/>
      <c r="K30" s="754" t="n"/>
      <c r="L30" s="732" t="n"/>
      <c r="M30" s="732" t="n"/>
      <c r="N30" s="732" t="n"/>
      <c r="O30" s="732" t="n"/>
      <c r="P30" s="732" t="n"/>
      <c r="Q30" s="732" t="n"/>
      <c r="R30" s="732" t="n"/>
      <c r="S30" s="732" t="n"/>
      <c r="T30" s="732" t="n"/>
    </row>
    <row r="31" ht="14.25" customHeight="1">
      <c r="A31" s="8" t="n"/>
      <c r="C31" s="380" t="inlineStr">
        <is>
          <t>Asset Turnover</t>
        </is>
      </c>
      <c r="G31" s="755">
        <f>G66/G62</f>
        <v/>
      </c>
      <c r="H31" s="755">
        <f>H66/H62</f>
        <v/>
      </c>
      <c r="I31" s="755">
        <f>I66/I62</f>
        <v/>
      </c>
      <c r="J31" s="755">
        <f>J66/J62</f>
        <v/>
      </c>
      <c r="K31" s="756">
        <f>K66/K62</f>
        <v/>
      </c>
      <c r="L31" s="755">
        <f>L66/L62</f>
        <v/>
      </c>
      <c r="M31" s="755">
        <f>M66/M62</f>
        <v/>
      </c>
      <c r="N31" s="755">
        <f>N66/N62</f>
        <v/>
      </c>
      <c r="O31" s="755">
        <f>O66/O62</f>
        <v/>
      </c>
      <c r="P31" s="755">
        <f>P66/P62</f>
        <v/>
      </c>
      <c r="Q31" s="755">
        <f>Q66/Q62</f>
        <v/>
      </c>
      <c r="R31" s="755">
        <f>R66/R62</f>
        <v/>
      </c>
      <c r="S31" s="755">
        <f>S66/S62</f>
        <v/>
      </c>
      <c r="T31" s="755">
        <f>T66/T62</f>
        <v/>
      </c>
    </row>
    <row r="32" ht="14.25" customHeight="1">
      <c r="A32" s="8" t="n"/>
      <c r="C32" s="380" t="inlineStr">
        <is>
          <t>Inventory Turnover</t>
        </is>
      </c>
      <c r="G32" s="755">
        <f>G67/G60</f>
        <v/>
      </c>
      <c r="H32" s="755">
        <f>H67/H60</f>
        <v/>
      </c>
      <c r="I32" s="755">
        <f>I67/I60</f>
        <v/>
      </c>
      <c r="J32" s="755">
        <f>J67/J60</f>
        <v/>
      </c>
      <c r="K32" s="756">
        <f>K67/K60</f>
        <v/>
      </c>
      <c r="L32" s="755">
        <f>L67/L60</f>
        <v/>
      </c>
      <c r="M32" s="755">
        <f>M67/M60</f>
        <v/>
      </c>
      <c r="N32" s="755">
        <f>N67/N60</f>
        <v/>
      </c>
      <c r="O32" s="755">
        <f>O67/O60</f>
        <v/>
      </c>
      <c r="P32" s="755">
        <f>P67/P60</f>
        <v/>
      </c>
      <c r="Q32" s="755">
        <f>Q67/Q60</f>
        <v/>
      </c>
      <c r="R32" s="755">
        <f>R67/R60</f>
        <v/>
      </c>
      <c r="S32" s="755">
        <f>S67/S60</f>
        <v/>
      </c>
      <c r="T32" s="755">
        <f>T67/T60</f>
        <v/>
      </c>
    </row>
    <row r="33" ht="15" customHeight="1">
      <c r="A33" s="8" t="n"/>
      <c r="C33" s="380" t="inlineStr">
        <is>
          <t>Receivables Turnover</t>
        </is>
      </c>
      <c r="G33" s="755">
        <f>G66/G59</f>
        <v/>
      </c>
      <c r="H33" s="755">
        <f>H66/H59</f>
        <v/>
      </c>
      <c r="I33" s="755">
        <f>I66/I59</f>
        <v/>
      </c>
      <c r="J33" s="755">
        <f>J66/J59</f>
        <v/>
      </c>
      <c r="K33" s="756">
        <f>K66/K59</f>
        <v/>
      </c>
      <c r="L33" s="755">
        <f>L66/L59</f>
        <v/>
      </c>
      <c r="M33" s="755">
        <f>M66/M59</f>
        <v/>
      </c>
      <c r="N33" s="755">
        <f>N66/N59</f>
        <v/>
      </c>
      <c r="O33" s="755">
        <f>O66/O59</f>
        <v/>
      </c>
      <c r="P33" s="755">
        <f>P66/P59</f>
        <v/>
      </c>
      <c r="Q33" s="755">
        <f>Q66/Q59</f>
        <v/>
      </c>
      <c r="R33" s="755">
        <f>R66/R59</f>
        <v/>
      </c>
      <c r="S33" s="755">
        <f>S66/S59</f>
        <v/>
      </c>
      <c r="T33" s="755">
        <f>T66/T59</f>
        <v/>
      </c>
    </row>
    <row r="34" ht="15" customHeight="1">
      <c r="A34" s="8" t="n"/>
      <c r="C34" s="380">
        <f>Drivers!C86</f>
        <v/>
      </c>
      <c r="G34" s="668">
        <f>Drivers!G86</f>
        <v/>
      </c>
      <c r="H34" s="668">
        <f>Drivers!H86</f>
        <v/>
      </c>
      <c r="I34" s="668">
        <f>Drivers!I86</f>
        <v/>
      </c>
      <c r="J34" s="668">
        <f>Drivers!J86</f>
        <v/>
      </c>
      <c r="K34" s="763">
        <f>Drivers!K86</f>
        <v/>
      </c>
      <c r="L34" s="668">
        <f>Drivers!L86</f>
        <v/>
      </c>
      <c r="M34" s="668">
        <f>Drivers!M86</f>
        <v/>
      </c>
      <c r="N34" s="668">
        <f>Drivers!N86</f>
        <v/>
      </c>
      <c r="O34" s="668">
        <f>Drivers!O86</f>
        <v/>
      </c>
      <c r="P34" s="668">
        <f>Drivers!P86</f>
        <v/>
      </c>
      <c r="Q34" s="668">
        <f>Drivers!Q86</f>
        <v/>
      </c>
      <c r="R34" s="668">
        <f>Drivers!R86</f>
        <v/>
      </c>
      <c r="S34" s="668">
        <f>Drivers!S86</f>
        <v/>
      </c>
      <c r="T34" s="668">
        <f>Drivers!T86</f>
        <v/>
      </c>
    </row>
    <row r="35" ht="15" customHeight="1">
      <c r="A35" s="8" t="n"/>
      <c r="C35" s="380">
        <f>Drivers!C112</f>
        <v/>
      </c>
      <c r="G35" s="668">
        <f>Drivers!G112</f>
        <v/>
      </c>
      <c r="H35" s="668">
        <f>Drivers!H112</f>
        <v/>
      </c>
      <c r="I35" s="668">
        <f>Drivers!I112</f>
        <v/>
      </c>
      <c r="J35" s="668">
        <f>Drivers!J112</f>
        <v/>
      </c>
      <c r="K35" s="763">
        <f>Drivers!K112</f>
        <v/>
      </c>
      <c r="L35" s="668">
        <f>Drivers!L112</f>
        <v/>
      </c>
      <c r="M35" s="668">
        <f>Drivers!M112</f>
        <v/>
      </c>
      <c r="N35" s="668">
        <f>Drivers!N112</f>
        <v/>
      </c>
      <c r="O35" s="668">
        <f>Drivers!O112</f>
        <v/>
      </c>
      <c r="P35" s="668">
        <f>Drivers!P112</f>
        <v/>
      </c>
      <c r="Q35" s="668">
        <f>Drivers!Q112</f>
        <v/>
      </c>
      <c r="R35" s="668">
        <f>Drivers!R112</f>
        <v/>
      </c>
      <c r="S35" s="668">
        <f>Drivers!S112</f>
        <v/>
      </c>
      <c r="T35" s="668">
        <f>Drivers!T112</f>
        <v/>
      </c>
    </row>
    <row r="36" ht="15" customHeight="1">
      <c r="A36" s="8" t="n"/>
      <c r="K36" s="299" t="n"/>
    </row>
    <row r="37" ht="15" customHeight="1">
      <c r="A37" s="8" t="n"/>
      <c r="C37" s="379" t="inlineStr">
        <is>
          <t>Leverage</t>
        </is>
      </c>
      <c r="D37" s="300" t="n"/>
      <c r="E37" s="300" t="n"/>
      <c r="F37" s="300" t="n"/>
      <c r="G37" s="732" t="n"/>
      <c r="H37" s="732" t="n"/>
      <c r="I37" s="732" t="n"/>
      <c r="J37" s="732" t="n"/>
      <c r="K37" s="754" t="n"/>
      <c r="L37" s="732" t="n"/>
      <c r="M37" s="732" t="n"/>
      <c r="N37" s="732" t="n"/>
      <c r="O37" s="732" t="n"/>
      <c r="P37" s="732" t="n"/>
      <c r="Q37" s="732" t="n"/>
      <c r="R37" s="732" t="n"/>
      <c r="S37" s="732" t="n"/>
      <c r="T37" s="732" t="n"/>
    </row>
    <row r="38" ht="14.25" customHeight="1">
      <c r="A38" s="8" t="n"/>
      <c r="C38" s="380" t="inlineStr">
        <is>
          <t>Debt / Assets</t>
        </is>
      </c>
      <c r="G38" s="135">
        <f>G53/G62</f>
        <v/>
      </c>
      <c r="H38" s="135">
        <f>H53/H62</f>
        <v/>
      </c>
      <c r="I38" s="135">
        <f>I53/I62</f>
        <v/>
      </c>
      <c r="J38" s="135">
        <f>J53/J62</f>
        <v/>
      </c>
      <c r="K38" s="405">
        <f>K53/K62</f>
        <v/>
      </c>
      <c r="L38" s="135">
        <f>L53/L62</f>
        <v/>
      </c>
      <c r="M38" s="135">
        <f>M53/M62</f>
        <v/>
      </c>
      <c r="N38" s="135">
        <f>N53/N62</f>
        <v/>
      </c>
      <c r="O38" s="135">
        <f>O53/O62</f>
        <v/>
      </c>
      <c r="P38" s="135">
        <f>P53/P62</f>
        <v/>
      </c>
      <c r="Q38" s="135">
        <f>Q53/Q62</f>
        <v/>
      </c>
      <c r="R38" s="135">
        <f>R53/R62</f>
        <v/>
      </c>
      <c r="S38" s="135">
        <f>S53/S62</f>
        <v/>
      </c>
      <c r="T38" s="135">
        <f>T53/T62</f>
        <v/>
      </c>
    </row>
    <row r="39" ht="14.25" customHeight="1">
      <c r="A39" s="8" t="n"/>
      <c r="C39" s="380" t="inlineStr">
        <is>
          <t>Debt / Equity</t>
        </is>
      </c>
      <c r="G39" s="135">
        <f>G53/G52</f>
        <v/>
      </c>
      <c r="H39" s="135">
        <f>H53/H52</f>
        <v/>
      </c>
      <c r="I39" s="135">
        <f>I53/I52</f>
        <v/>
      </c>
      <c r="J39" s="135">
        <f>J53/J52</f>
        <v/>
      </c>
      <c r="K39" s="405">
        <f>K53/K52</f>
        <v/>
      </c>
      <c r="L39" s="135">
        <f>L53/L52</f>
        <v/>
      </c>
      <c r="M39" s="135">
        <f>M53/M52</f>
        <v/>
      </c>
      <c r="N39" s="135">
        <f>N53/N52</f>
        <v/>
      </c>
      <c r="O39" s="135">
        <f>O53/O52</f>
        <v/>
      </c>
      <c r="P39" s="135">
        <f>P53/P52</f>
        <v/>
      </c>
      <c r="Q39" s="135">
        <f>Q53/Q52</f>
        <v/>
      </c>
      <c r="R39" s="135">
        <f>R53/R52</f>
        <v/>
      </c>
      <c r="S39" s="135">
        <f>S53/S52</f>
        <v/>
      </c>
      <c r="T39" s="135">
        <f>T53/T52</f>
        <v/>
      </c>
    </row>
    <row r="40" ht="14.25" customHeight="1">
      <c r="A40" s="8" t="n"/>
      <c r="C40" s="380" t="inlineStr">
        <is>
          <t>Debt / EBITDA</t>
        </is>
      </c>
      <c r="G40" s="755">
        <f>G53/G68</f>
        <v/>
      </c>
      <c r="H40" s="755">
        <f>H53/H68</f>
        <v/>
      </c>
      <c r="I40" s="755">
        <f>I53/I68</f>
        <v/>
      </c>
      <c r="J40" s="755">
        <f>J53/J68</f>
        <v/>
      </c>
      <c r="K40" s="756">
        <f>K53/K68</f>
        <v/>
      </c>
      <c r="L40" s="755">
        <f>L53/L68</f>
        <v/>
      </c>
      <c r="M40" s="755">
        <f>M53/M68</f>
        <v/>
      </c>
      <c r="N40" s="755">
        <f>N53/N68</f>
        <v/>
      </c>
      <c r="O40" s="755">
        <f>O53/O68</f>
        <v/>
      </c>
      <c r="P40" s="755">
        <f>P53/P68</f>
        <v/>
      </c>
      <c r="Q40" s="755">
        <f>Q53/Q68</f>
        <v/>
      </c>
      <c r="R40" s="755">
        <f>R53/R68</f>
        <v/>
      </c>
      <c r="S40" s="755">
        <f>S53/S68</f>
        <v/>
      </c>
      <c r="T40" s="755">
        <f>T53/T68</f>
        <v/>
      </c>
    </row>
    <row r="41" ht="14.25" customHeight="1">
      <c r="A41" s="8" t="n"/>
      <c r="C41" s="380" t="inlineStr">
        <is>
          <t>Interest Coverage</t>
        </is>
      </c>
      <c r="G41" s="755">
        <f>IFERROR(G69/G74,"n/m")</f>
        <v/>
      </c>
      <c r="H41" s="755">
        <f>IFERROR(H69/H74,"n/m")</f>
        <v/>
      </c>
      <c r="I41" s="755">
        <f>IFERROR(I69/I74,"n/m")</f>
        <v/>
      </c>
      <c r="J41" s="755">
        <f>IFERROR(J69/J74,"n/m")</f>
        <v/>
      </c>
      <c r="K41" s="756">
        <f>IFERROR(K69/K74,"n/m")</f>
        <v/>
      </c>
      <c r="L41" s="755">
        <f>IFERROR(L69/L74,"n/m")</f>
        <v/>
      </c>
      <c r="M41" s="755">
        <f>IFERROR(M69/M74,"n/m")</f>
        <v/>
      </c>
      <c r="N41" s="755">
        <f>IFERROR(N69/N74,"n/m")</f>
        <v/>
      </c>
      <c r="O41" s="755">
        <f>IFERROR(O69/O74,"n/m")</f>
        <v/>
      </c>
      <c r="P41" s="755">
        <f>IFERROR(P69/P74,"n/m")</f>
        <v/>
      </c>
      <c r="Q41" s="755">
        <f>IFERROR(Q69/Q74,"n/m")</f>
        <v/>
      </c>
      <c r="R41" s="755">
        <f>IFERROR(R69/R74,"n/m")</f>
        <v/>
      </c>
      <c r="S41" s="755">
        <f>IFERROR(S69/S74,"n/m")</f>
        <v/>
      </c>
      <c r="T41" s="755">
        <f>IFERROR(T69/T74,"n/m")</f>
        <v/>
      </c>
    </row>
    <row r="42" ht="15" customHeight="1">
      <c r="A42" s="8" t="n"/>
      <c r="C42" s="380" t="inlineStr">
        <is>
          <t>Debt Service Coverage</t>
        </is>
      </c>
      <c r="G42" s="755">
        <f>IFERROR(G69/G76,"n/m")</f>
        <v/>
      </c>
      <c r="H42" s="755">
        <f>IFERROR(H69/H76,"n/m")</f>
        <v/>
      </c>
      <c r="I42" s="755">
        <f>IFERROR(I69/I76,"n/m")</f>
        <v/>
      </c>
      <c r="J42" s="755">
        <f>IFERROR(J69/J76,"n/m")</f>
        <v/>
      </c>
      <c r="K42" s="756">
        <f>IFERROR(K69/K76,"n/m")</f>
        <v/>
      </c>
      <c r="L42" s="755">
        <f>IFERROR(L69/L76,"n/m")</f>
        <v/>
      </c>
      <c r="M42" s="755">
        <f>IFERROR(M69/M76,"n/m")</f>
        <v/>
      </c>
      <c r="N42" s="755">
        <f>IFERROR(N69/N76,"n/m")</f>
        <v/>
      </c>
      <c r="O42" s="755">
        <f>IFERROR(O69/O76,"n/m")</f>
        <v/>
      </c>
      <c r="P42" s="755">
        <f>IFERROR(P69/P76,"n/m")</f>
        <v/>
      </c>
      <c r="Q42" s="755">
        <f>IFERROR(Q69/Q76,"n/m")</f>
        <v/>
      </c>
      <c r="R42" s="755">
        <f>IFERROR(R69/R76,"n/m")</f>
        <v/>
      </c>
      <c r="S42" s="755">
        <f>IFERROR(S69/S76,"n/m")</f>
        <v/>
      </c>
      <c r="T42" s="755">
        <f>IFERROR(T69/T76,"n/m")</f>
        <v/>
      </c>
    </row>
    <row r="43" ht="14.25" customHeight="1">
      <c r="A43" s="8" t="n"/>
      <c r="K43" s="299" t="n"/>
    </row>
    <row r="44" ht="15" customHeight="1">
      <c r="A44" s="8" t="n"/>
      <c r="C44" s="379" t="inlineStr">
        <is>
          <t>Liquidity</t>
        </is>
      </c>
      <c r="D44" s="300" t="n"/>
      <c r="E44" s="300" t="n"/>
      <c r="F44" s="300" t="n"/>
      <c r="G44" s="732" t="n"/>
      <c r="H44" s="732" t="n"/>
      <c r="I44" s="732" t="n"/>
      <c r="J44" s="732" t="n"/>
      <c r="K44" s="754" t="n"/>
      <c r="L44" s="732" t="n"/>
      <c r="M44" s="732" t="n"/>
      <c r="N44" s="732" t="n"/>
      <c r="O44" s="732" t="n"/>
      <c r="P44" s="732" t="n"/>
      <c r="Q44" s="732" t="n"/>
      <c r="R44" s="732" t="n"/>
      <c r="S44" s="732" t="n"/>
      <c r="T44" s="732" t="n"/>
    </row>
    <row r="45" ht="15" customHeight="1">
      <c r="A45" s="8" t="n"/>
      <c r="C45" s="380" t="inlineStr">
        <is>
          <t>Current Ratio</t>
        </is>
      </c>
      <c r="G45" s="755">
        <f>G61/G63</f>
        <v/>
      </c>
      <c r="H45" s="755">
        <f>H61/H63</f>
        <v/>
      </c>
      <c r="I45" s="755">
        <f>I61/I63</f>
        <v/>
      </c>
      <c r="J45" s="755">
        <f>J61/J63</f>
        <v/>
      </c>
      <c r="K45" s="755">
        <f>K61/K63</f>
        <v/>
      </c>
      <c r="L45" s="755">
        <f>L61/L63</f>
        <v/>
      </c>
      <c r="M45" s="755">
        <f>M61/M63</f>
        <v/>
      </c>
      <c r="N45" s="755">
        <f>N61/N63</f>
        <v/>
      </c>
      <c r="O45" s="755">
        <f>O61/O63</f>
        <v/>
      </c>
      <c r="P45" s="755">
        <f>P61/P63</f>
        <v/>
      </c>
      <c r="Q45" s="755">
        <f>Q61/Q63</f>
        <v/>
      </c>
      <c r="R45" s="755">
        <f>R61/R63</f>
        <v/>
      </c>
      <c r="S45" s="755">
        <f>S61/S63</f>
        <v/>
      </c>
      <c r="T45" s="755">
        <f>T61/T63</f>
        <v/>
      </c>
    </row>
    <row r="46" ht="14.25" customHeight="1">
      <c r="A46" s="8" t="n"/>
      <c r="C46" s="380" t="inlineStr">
        <is>
          <t>Acid-Test Ratio</t>
        </is>
      </c>
      <c r="G46" s="755">
        <f>(G61-G60)/G63</f>
        <v/>
      </c>
      <c r="H46" s="755">
        <f>(H61-H60)/H63</f>
        <v/>
      </c>
      <c r="I46" s="755">
        <f>(I61-I60)/I63</f>
        <v/>
      </c>
      <c r="J46" s="755">
        <f>(J61-J60)/J63</f>
        <v/>
      </c>
      <c r="K46" s="755">
        <f>(K61-K60)/K63</f>
        <v/>
      </c>
      <c r="L46" s="755">
        <f>(L61-L60)/L63</f>
        <v/>
      </c>
      <c r="M46" s="755">
        <f>(M61-M60)/M63</f>
        <v/>
      </c>
      <c r="N46" s="755">
        <f>(N61-N60)/N63</f>
        <v/>
      </c>
      <c r="O46" s="755">
        <f>(O61-O60)/O63</f>
        <v/>
      </c>
      <c r="P46" s="755">
        <f>(P61-P60)/P63</f>
        <v/>
      </c>
      <c r="Q46" s="755">
        <f>(Q61-Q60)/Q63</f>
        <v/>
      </c>
      <c r="R46" s="755">
        <f>(R61-R60)/R63</f>
        <v/>
      </c>
      <c r="S46" s="755">
        <f>(S61-S60)/S63</f>
        <v/>
      </c>
      <c r="T46" s="755">
        <f>(T61-T60)/T63</f>
        <v/>
      </c>
    </row>
    <row r="47" ht="15" customHeight="1">
      <c r="A47" s="8" t="n"/>
      <c r="C47" s="380" t="inlineStr">
        <is>
          <t>Cash Ratio</t>
        </is>
      </c>
      <c r="G47" s="755">
        <f>G54/G63</f>
        <v/>
      </c>
      <c r="H47" s="755">
        <f>H54/H63</f>
        <v/>
      </c>
      <c r="I47" s="755">
        <f>I54/I63</f>
        <v/>
      </c>
      <c r="J47" s="755">
        <f>J54/J63</f>
        <v/>
      </c>
      <c r="K47" s="755">
        <f>K54/K63</f>
        <v/>
      </c>
      <c r="L47" s="755">
        <f>L54/L63</f>
        <v/>
      </c>
      <c r="M47" s="755">
        <f>M54/M63</f>
        <v/>
      </c>
      <c r="N47" s="755">
        <f>N54/N63</f>
        <v/>
      </c>
      <c r="O47" s="755">
        <f>O54/O63</f>
        <v/>
      </c>
      <c r="P47" s="755">
        <f>P54/P63</f>
        <v/>
      </c>
      <c r="Q47" s="755">
        <f>Q54/Q63</f>
        <v/>
      </c>
      <c r="R47" s="755">
        <f>R54/R63</f>
        <v/>
      </c>
      <c r="S47" s="755">
        <f>S54/S63</f>
        <v/>
      </c>
      <c r="T47" s="755">
        <f>T54/T63</f>
        <v/>
      </c>
    </row>
    <row r="48" ht="15" customHeight="1">
      <c r="A48" s="8" t="n"/>
      <c r="C48" s="214" t="n"/>
    </row>
    <row r="49" ht="15" customHeight="1">
      <c r="A49" s="8" t="n"/>
      <c r="C49" s="214" t="n"/>
    </row>
    <row r="50" ht="15" customHeight="1">
      <c r="A50" s="8" t="n"/>
      <c r="C50" s="383" t="inlineStr">
        <is>
          <t>Supporting Information</t>
        </is>
      </c>
      <c r="D50" s="384" t="n"/>
      <c r="E50" s="384" t="n"/>
      <c r="F50" s="384" t="n"/>
      <c r="G50" s="764" t="n"/>
      <c r="H50" s="764" t="n"/>
      <c r="I50" s="764" t="n"/>
      <c r="J50" s="764" t="n"/>
      <c r="K50" s="764" t="n"/>
      <c r="L50" s="764" t="n"/>
      <c r="M50" s="764" t="n"/>
      <c r="N50" s="764" t="n"/>
      <c r="O50" s="764" t="n"/>
      <c r="P50" s="764" t="n"/>
      <c r="Q50" s="764" t="n"/>
      <c r="R50" s="764" t="n"/>
      <c r="S50" s="764" t="n"/>
      <c r="T50" s="765" t="n"/>
    </row>
    <row r="51" ht="15" customHeight="1">
      <c r="A51" s="8" t="n"/>
      <c r="C51" s="379" t="n"/>
      <c r="D51" s="300" t="n"/>
      <c r="E51" s="300" t="n"/>
      <c r="F51" s="300" t="n"/>
      <c r="G51" s="732" t="n"/>
      <c r="H51" s="732" t="n"/>
      <c r="I51" s="732" t="n"/>
      <c r="J51" s="732" t="n"/>
      <c r="K51" s="732" t="n"/>
      <c r="L51" s="732" t="n"/>
      <c r="M51" s="732" t="n"/>
      <c r="N51" s="732" t="n"/>
      <c r="O51" s="732" t="n"/>
      <c r="P51" s="732" t="n"/>
      <c r="Q51" s="732" t="n"/>
      <c r="R51" s="732" t="n"/>
      <c r="S51" s="732" t="n"/>
      <c r="T51" s="732" t="n"/>
    </row>
    <row r="52" ht="15" customHeight="1">
      <c r="A52" s="8" t="n"/>
      <c r="C52" s="380" t="inlineStr">
        <is>
          <t>Market Value of Equity</t>
        </is>
      </c>
      <c r="G52" s="766">
        <f>Support!$D$5</f>
        <v/>
      </c>
      <c r="H52" s="766">
        <f>Support!$D$5</f>
        <v/>
      </c>
      <c r="I52" s="766">
        <f>Support!$D$5</f>
        <v/>
      </c>
      <c r="J52" s="766">
        <f>Support!$D$5</f>
        <v/>
      </c>
      <c r="K52" s="766">
        <f>Support!$D$5</f>
        <v/>
      </c>
      <c r="L52" s="766">
        <f>Support!$D$5</f>
        <v/>
      </c>
      <c r="M52" s="766">
        <f>Support!$D$5</f>
        <v/>
      </c>
      <c r="N52" s="766">
        <f>Support!$D$5</f>
        <v/>
      </c>
      <c r="O52" s="766">
        <f>Support!$D$5</f>
        <v/>
      </c>
      <c r="P52" s="766">
        <f>Support!$D$5</f>
        <v/>
      </c>
      <c r="Q52" s="766">
        <f>Support!$D$5</f>
        <v/>
      </c>
      <c r="R52" s="766">
        <f>Support!$D$5</f>
        <v/>
      </c>
      <c r="S52" s="766">
        <f>Support!$D$5</f>
        <v/>
      </c>
      <c r="T52" s="766">
        <f>Support!$D$5</f>
        <v/>
      </c>
    </row>
    <row r="53" ht="15" customHeight="1">
      <c r="A53" s="8" t="n"/>
      <c r="C53" s="380" t="inlineStr">
        <is>
          <t>Debt</t>
        </is>
      </c>
      <c r="G53" s="686">
        <f>SUM('Financial Model'!G75:G76)</f>
        <v/>
      </c>
      <c r="H53" s="686">
        <f>SUM('Financial Model'!H75:H76)</f>
        <v/>
      </c>
      <c r="I53" s="686">
        <f>SUM('Financial Model'!I75:I76)</f>
        <v/>
      </c>
      <c r="J53" s="686">
        <f>SUM('Financial Model'!J75:J76)</f>
        <v/>
      </c>
      <c r="K53" s="686">
        <f>SUM('Financial Model'!K75:K76)</f>
        <v/>
      </c>
      <c r="L53" s="686">
        <f>SUM('Financial Model'!L75:L76)</f>
        <v/>
      </c>
      <c r="M53" s="686">
        <f>SUM('Financial Model'!M75:M76)</f>
        <v/>
      </c>
      <c r="N53" s="686">
        <f>SUM('Financial Model'!N75:N76)</f>
        <v/>
      </c>
      <c r="O53" s="686">
        <f>SUM('Financial Model'!O75:O76)</f>
        <v/>
      </c>
      <c r="P53" s="686">
        <f>SUM('Financial Model'!P75:P76)</f>
        <v/>
      </c>
      <c r="Q53" s="686">
        <f>SUM('Financial Model'!Q75:Q76)</f>
        <v/>
      </c>
      <c r="R53" s="686">
        <f>SUM('Financial Model'!R75:R76)</f>
        <v/>
      </c>
      <c r="S53" s="686">
        <f>SUM('Financial Model'!S75:S76)</f>
        <v/>
      </c>
      <c r="T53" s="686">
        <f>SUM('Financial Model'!T75:T76)</f>
        <v/>
      </c>
    </row>
    <row r="54" ht="14.25" customHeight="1">
      <c r="A54" s="8" t="n"/>
      <c r="C54" s="381">
        <f>'Financial Model'!$C$50</f>
        <v/>
      </c>
      <c r="G54" s="686">
        <f>'Financial Model'!G50</f>
        <v/>
      </c>
      <c r="H54" s="686">
        <f>'Financial Model'!H50</f>
        <v/>
      </c>
      <c r="I54" s="686">
        <f>'Financial Model'!I50</f>
        <v/>
      </c>
      <c r="J54" s="686">
        <f>'Financial Model'!J50</f>
        <v/>
      </c>
      <c r="K54" s="686">
        <f>'Financial Model'!K50</f>
        <v/>
      </c>
      <c r="L54" s="686">
        <f>'Financial Model'!L50</f>
        <v/>
      </c>
      <c r="M54" s="686">
        <f>'Financial Model'!M50</f>
        <v/>
      </c>
      <c r="N54" s="686">
        <f>'Financial Model'!N50</f>
        <v/>
      </c>
      <c r="O54" s="686">
        <f>'Financial Model'!O50</f>
        <v/>
      </c>
      <c r="P54" s="686">
        <f>'Financial Model'!P50</f>
        <v/>
      </c>
      <c r="Q54" s="686">
        <f>'Financial Model'!Q50</f>
        <v/>
      </c>
      <c r="R54" s="686">
        <f>'Financial Model'!R50</f>
        <v/>
      </c>
      <c r="S54" s="686">
        <f>'Financial Model'!S50</f>
        <v/>
      </c>
      <c r="T54" s="686">
        <f>'Financial Model'!T50</f>
        <v/>
      </c>
    </row>
    <row r="55" ht="14.25" customHeight="1">
      <c r="A55" s="8" t="n"/>
      <c r="C55" s="412" t="inlineStr">
        <is>
          <t>Enterprise Value</t>
        </is>
      </c>
      <c r="D55" s="124" t="n"/>
      <c r="E55" s="124" t="n"/>
      <c r="F55" s="124" t="n"/>
      <c r="G55" s="711">
        <f>G52+G53-G54</f>
        <v/>
      </c>
      <c r="H55" s="711">
        <f>H52+H53-H54</f>
        <v/>
      </c>
      <c r="I55" s="711">
        <f>I52+I53-I54</f>
        <v/>
      </c>
      <c r="J55" s="711">
        <f>J52+J53-J54</f>
        <v/>
      </c>
      <c r="K55" s="711">
        <f>K52+K53-K54</f>
        <v/>
      </c>
      <c r="L55" s="711">
        <f>L52+L53-L54</f>
        <v/>
      </c>
      <c r="M55" s="711">
        <f>M52+M53-M54</f>
        <v/>
      </c>
      <c r="N55" s="711">
        <f>N52+N53-N54</f>
        <v/>
      </c>
      <c r="O55" s="711">
        <f>O52+O53-O54</f>
        <v/>
      </c>
      <c r="P55" s="711">
        <f>P52+P53-P54</f>
        <v/>
      </c>
      <c r="Q55" s="711">
        <f>Q52+Q53-Q54</f>
        <v/>
      </c>
      <c r="R55" s="711">
        <f>R52+R53-R54</f>
        <v/>
      </c>
      <c r="S55" s="711">
        <f>S52+S53-S54</f>
        <v/>
      </c>
      <c r="T55" s="711">
        <f>T52+T53-T54</f>
        <v/>
      </c>
    </row>
    <row r="56" ht="14.25" customHeight="1">
      <c r="A56" s="8" t="n"/>
      <c r="C56" s="214" t="n"/>
      <c r="G56" s="628" t="n"/>
      <c r="H56" s="628" t="n"/>
      <c r="I56" s="628" t="n"/>
      <c r="J56" s="628" t="n"/>
      <c r="K56" s="628" t="n"/>
      <c r="L56" s="628" t="n"/>
      <c r="M56" s="628" t="n"/>
      <c r="N56" s="628" t="n"/>
      <c r="O56" s="628" t="n"/>
      <c r="P56" s="628" t="n"/>
      <c r="Q56" s="628" t="n"/>
      <c r="R56" s="628" t="n"/>
      <c r="S56" s="628" t="n"/>
      <c r="T56" s="628" t="n"/>
    </row>
    <row r="57" ht="14.25" customHeight="1">
      <c r="A57" s="8" t="n"/>
      <c r="C57" s="380" t="inlineStr">
        <is>
          <t>Fully-Diluted Shares Outstanding</t>
        </is>
      </c>
      <c r="G57" s="767">
        <f>Drivers!G215</f>
        <v/>
      </c>
      <c r="H57" s="767">
        <f>Drivers!H215</f>
        <v/>
      </c>
      <c r="I57" s="767">
        <f>Drivers!I215</f>
        <v/>
      </c>
      <c r="J57" s="767">
        <f>Drivers!J215</f>
        <v/>
      </c>
      <c r="K57" s="767">
        <f>Drivers!K215</f>
        <v/>
      </c>
      <c r="L57" s="767">
        <f>Drivers!L215</f>
        <v/>
      </c>
      <c r="M57" s="767">
        <f>Drivers!M215</f>
        <v/>
      </c>
      <c r="N57" s="767">
        <f>Drivers!N215</f>
        <v/>
      </c>
      <c r="O57" s="767">
        <f>Drivers!O215</f>
        <v/>
      </c>
      <c r="P57" s="767">
        <f>Drivers!P215</f>
        <v/>
      </c>
      <c r="Q57" s="767">
        <f>Drivers!Q215</f>
        <v/>
      </c>
      <c r="R57" s="767">
        <f>Drivers!R215</f>
        <v/>
      </c>
      <c r="S57" s="767">
        <f>Drivers!S215</f>
        <v/>
      </c>
      <c r="T57" s="767">
        <f>Drivers!T215</f>
        <v/>
      </c>
    </row>
    <row r="58" ht="14.25" customHeight="1">
      <c r="A58" s="8" t="n"/>
      <c r="C58" s="214" t="n"/>
      <c r="G58" s="628" t="n"/>
      <c r="H58" s="628" t="n"/>
      <c r="I58" s="628" t="n"/>
      <c r="J58" s="628" t="n"/>
      <c r="K58" s="628" t="n"/>
      <c r="L58" s="628" t="n"/>
      <c r="M58" s="628" t="n"/>
      <c r="N58" s="628" t="n"/>
      <c r="O58" s="628" t="n"/>
      <c r="P58" s="628" t="n"/>
      <c r="Q58" s="628" t="n"/>
      <c r="R58" s="628" t="n"/>
      <c r="S58" s="628" t="n"/>
      <c r="T58" s="628" t="n"/>
    </row>
    <row r="59" ht="14.25" customHeight="1">
      <c r="A59" s="8" t="n"/>
      <c r="C59" s="381">
        <f>'Financial Model'!C51</f>
        <v/>
      </c>
      <c r="D59" s="201" t="n"/>
      <c r="E59" s="201" t="n"/>
      <c r="F59" s="201" t="n"/>
      <c r="G59" s="675">
        <f>'Financial Model'!G51</f>
        <v/>
      </c>
      <c r="H59" s="675">
        <f>'Financial Model'!H51</f>
        <v/>
      </c>
      <c r="I59" s="675">
        <f>'Financial Model'!I51</f>
        <v/>
      </c>
      <c r="J59" s="675">
        <f>'Financial Model'!J51</f>
        <v/>
      </c>
      <c r="K59" s="675">
        <f>'Financial Model'!K51</f>
        <v/>
      </c>
      <c r="L59" s="675">
        <f>'Financial Model'!L51</f>
        <v/>
      </c>
      <c r="M59" s="675">
        <f>'Financial Model'!M51</f>
        <v/>
      </c>
      <c r="N59" s="675">
        <f>'Financial Model'!N51</f>
        <v/>
      </c>
      <c r="O59" s="675">
        <f>'Financial Model'!O51</f>
        <v/>
      </c>
      <c r="P59" s="675">
        <f>'Financial Model'!P51</f>
        <v/>
      </c>
      <c r="Q59" s="675">
        <f>'Financial Model'!Q51</f>
        <v/>
      </c>
      <c r="R59" s="675">
        <f>'Financial Model'!R51</f>
        <v/>
      </c>
      <c r="S59" s="675">
        <f>'Financial Model'!S51</f>
        <v/>
      </c>
      <c r="T59" s="675">
        <f>'Financial Model'!T51</f>
        <v/>
      </c>
    </row>
    <row r="60" ht="14.25" customHeight="1">
      <c r="A60" s="8" t="n"/>
      <c r="C60" s="381">
        <f>'Financial Model'!C53</f>
        <v/>
      </c>
      <c r="D60" s="201" t="n"/>
      <c r="E60" s="201" t="n"/>
      <c r="F60" s="201" t="n"/>
      <c r="G60" s="686">
        <f>'Financial Model'!G53</f>
        <v/>
      </c>
      <c r="H60" s="686">
        <f>'Financial Model'!H53</f>
        <v/>
      </c>
      <c r="I60" s="686">
        <f>'Financial Model'!I53</f>
        <v/>
      </c>
      <c r="J60" s="686">
        <f>'Financial Model'!J53</f>
        <v/>
      </c>
      <c r="K60" s="686">
        <f>'Financial Model'!K53</f>
        <v/>
      </c>
      <c r="L60" s="686">
        <f>'Financial Model'!L53</f>
        <v/>
      </c>
      <c r="M60" s="686">
        <f>'Financial Model'!M53</f>
        <v/>
      </c>
      <c r="N60" s="686">
        <f>'Financial Model'!N53</f>
        <v/>
      </c>
      <c r="O60" s="686">
        <f>'Financial Model'!O53</f>
        <v/>
      </c>
      <c r="P60" s="686">
        <f>'Financial Model'!P53</f>
        <v/>
      </c>
      <c r="Q60" s="686">
        <f>'Financial Model'!Q53</f>
        <v/>
      </c>
      <c r="R60" s="686">
        <f>'Financial Model'!R53</f>
        <v/>
      </c>
      <c r="S60" s="686">
        <f>'Financial Model'!S53</f>
        <v/>
      </c>
      <c r="T60" s="686">
        <f>'Financial Model'!T53</f>
        <v/>
      </c>
    </row>
    <row r="61" ht="14.25" customHeight="1">
      <c r="A61" s="8" t="n"/>
      <c r="C61" s="381">
        <f>'Financial Model'!C55</f>
        <v/>
      </c>
      <c r="D61" s="201" t="n"/>
      <c r="E61" s="201" t="n"/>
      <c r="F61" s="201" t="n"/>
      <c r="G61" s="686">
        <f>'Financial Model'!G55</f>
        <v/>
      </c>
      <c r="H61" s="686">
        <f>'Financial Model'!H55</f>
        <v/>
      </c>
      <c r="I61" s="686">
        <f>'Financial Model'!I55</f>
        <v/>
      </c>
      <c r="J61" s="686">
        <f>'Financial Model'!J55</f>
        <v/>
      </c>
      <c r="K61" s="686">
        <f>'Financial Model'!K55</f>
        <v/>
      </c>
      <c r="L61" s="686">
        <f>'Financial Model'!L55</f>
        <v/>
      </c>
      <c r="M61" s="686">
        <f>'Financial Model'!M55</f>
        <v/>
      </c>
      <c r="N61" s="686">
        <f>'Financial Model'!N55</f>
        <v/>
      </c>
      <c r="O61" s="686">
        <f>'Financial Model'!O55</f>
        <v/>
      </c>
      <c r="P61" s="686">
        <f>'Financial Model'!P55</f>
        <v/>
      </c>
      <c r="Q61" s="686">
        <f>'Financial Model'!Q55</f>
        <v/>
      </c>
      <c r="R61" s="686">
        <f>'Financial Model'!R55</f>
        <v/>
      </c>
      <c r="S61" s="686">
        <f>'Financial Model'!S55</f>
        <v/>
      </c>
      <c r="T61" s="686">
        <f>'Financial Model'!T55</f>
        <v/>
      </c>
    </row>
    <row r="62" ht="14.25" customHeight="1">
      <c r="A62" s="8" t="n"/>
      <c r="C62" s="381">
        <f>'Financial Model'!$C$67</f>
        <v/>
      </c>
      <c r="G62" s="686">
        <f>'Financial Model'!G67</f>
        <v/>
      </c>
      <c r="H62" s="686">
        <f>'Financial Model'!H67</f>
        <v/>
      </c>
      <c r="I62" s="686">
        <f>'Financial Model'!I67</f>
        <v/>
      </c>
      <c r="J62" s="686">
        <f>'Financial Model'!J67</f>
        <v/>
      </c>
      <c r="K62" s="686">
        <f>'Financial Model'!K67</f>
        <v/>
      </c>
      <c r="L62" s="686">
        <f>'Financial Model'!L67</f>
        <v/>
      </c>
      <c r="M62" s="686">
        <f>'Financial Model'!M67</f>
        <v/>
      </c>
      <c r="N62" s="686">
        <f>'Financial Model'!N67</f>
        <v/>
      </c>
      <c r="O62" s="686">
        <f>'Financial Model'!O67</f>
        <v/>
      </c>
      <c r="P62" s="686">
        <f>'Financial Model'!P67</f>
        <v/>
      </c>
      <c r="Q62" s="686">
        <f>'Financial Model'!Q67</f>
        <v/>
      </c>
      <c r="R62" s="686">
        <f>'Financial Model'!R67</f>
        <v/>
      </c>
      <c r="S62" s="686">
        <f>'Financial Model'!S67</f>
        <v/>
      </c>
      <c r="T62" s="686">
        <f>'Financial Model'!T67</f>
        <v/>
      </c>
    </row>
    <row r="63" ht="14.25" customHeight="1">
      <c r="A63" s="8" t="n"/>
      <c r="C63" s="381">
        <f>'Financial Model'!C73</f>
        <v/>
      </c>
      <c r="G63" s="686">
        <f>'Financial Model'!G73</f>
        <v/>
      </c>
      <c r="H63" s="686">
        <f>'Financial Model'!H73</f>
        <v/>
      </c>
      <c r="I63" s="686">
        <f>'Financial Model'!I73</f>
        <v/>
      </c>
      <c r="J63" s="686">
        <f>'Financial Model'!J73</f>
        <v/>
      </c>
      <c r="K63" s="686">
        <f>'Financial Model'!K73</f>
        <v/>
      </c>
      <c r="L63" s="686">
        <f>'Financial Model'!L73</f>
        <v/>
      </c>
      <c r="M63" s="686">
        <f>'Financial Model'!M73</f>
        <v/>
      </c>
      <c r="N63" s="686">
        <f>'Financial Model'!N73</f>
        <v/>
      </c>
      <c r="O63" s="686">
        <f>'Financial Model'!O73</f>
        <v/>
      </c>
      <c r="P63" s="686">
        <f>'Financial Model'!P73</f>
        <v/>
      </c>
      <c r="Q63" s="686">
        <f>'Financial Model'!Q73</f>
        <v/>
      </c>
      <c r="R63" s="686">
        <f>'Financial Model'!R73</f>
        <v/>
      </c>
      <c r="S63" s="686">
        <f>'Financial Model'!S73</f>
        <v/>
      </c>
      <c r="T63" s="686">
        <f>'Financial Model'!T73</f>
        <v/>
      </c>
    </row>
    <row r="64" ht="14.25" customHeight="1">
      <c r="A64" s="8" t="n"/>
      <c r="C64" s="381">
        <f>'Financial Model'!$C$84</f>
        <v/>
      </c>
      <c r="G64" s="686">
        <f>'Financial Model'!G84</f>
        <v/>
      </c>
      <c r="H64" s="686">
        <f>'Financial Model'!H84</f>
        <v/>
      </c>
      <c r="I64" s="686">
        <f>'Financial Model'!I84</f>
        <v/>
      </c>
      <c r="J64" s="686">
        <f>'Financial Model'!J84</f>
        <v/>
      </c>
      <c r="K64" s="686">
        <f>'Financial Model'!K84</f>
        <v/>
      </c>
      <c r="L64" s="686">
        <f>'Financial Model'!L84</f>
        <v/>
      </c>
      <c r="M64" s="686">
        <f>'Financial Model'!M84</f>
        <v/>
      </c>
      <c r="N64" s="686">
        <f>'Financial Model'!N84</f>
        <v/>
      </c>
      <c r="O64" s="686">
        <f>'Financial Model'!O84</f>
        <v/>
      </c>
      <c r="P64" s="686">
        <f>'Financial Model'!P84</f>
        <v/>
      </c>
      <c r="Q64" s="686">
        <f>'Financial Model'!Q84</f>
        <v/>
      </c>
      <c r="R64" s="686">
        <f>'Financial Model'!R84</f>
        <v/>
      </c>
      <c r="S64" s="686">
        <f>'Financial Model'!S84</f>
        <v/>
      </c>
      <c r="T64" s="686">
        <f>'Financial Model'!T84</f>
        <v/>
      </c>
    </row>
    <row r="65" ht="14.25" customHeight="1">
      <c r="A65" s="8" t="n"/>
      <c r="C65" s="214" t="n"/>
      <c r="G65" s="628" t="n"/>
      <c r="H65" s="628" t="n"/>
      <c r="I65" s="628" t="n"/>
      <c r="J65" s="628" t="n"/>
      <c r="K65" s="628" t="n"/>
      <c r="L65" s="628" t="n"/>
      <c r="M65" s="628" t="n"/>
      <c r="N65" s="628" t="n"/>
      <c r="O65" s="628" t="n"/>
      <c r="P65" s="628" t="n"/>
      <c r="Q65" s="628" t="n"/>
      <c r="R65" s="628" t="n"/>
      <c r="S65" s="628" t="n"/>
      <c r="T65" s="628" t="n"/>
    </row>
    <row r="66" ht="14.25" customHeight="1">
      <c r="A66" s="8" t="n"/>
      <c r="C66" s="381">
        <f>'Financial Model'!C9</f>
        <v/>
      </c>
      <c r="D66" s="201" t="n"/>
      <c r="E66" s="201" t="n"/>
      <c r="F66" s="201" t="n"/>
      <c r="G66" s="675">
        <f>'Financial Model'!G9</f>
        <v/>
      </c>
      <c r="H66" s="675">
        <f>'Financial Model'!H9</f>
        <v/>
      </c>
      <c r="I66" s="675">
        <f>'Financial Model'!I9</f>
        <v/>
      </c>
      <c r="J66" s="675">
        <f>'Financial Model'!J9</f>
        <v/>
      </c>
      <c r="K66" s="675">
        <f>'Financial Model'!K9</f>
        <v/>
      </c>
      <c r="L66" s="675">
        <f>'Financial Model'!L9</f>
        <v/>
      </c>
      <c r="M66" s="675">
        <f>'Financial Model'!M9</f>
        <v/>
      </c>
      <c r="N66" s="675">
        <f>'Financial Model'!N9</f>
        <v/>
      </c>
      <c r="O66" s="675">
        <f>'Financial Model'!O9</f>
        <v/>
      </c>
      <c r="P66" s="675">
        <f>'Financial Model'!P9</f>
        <v/>
      </c>
      <c r="Q66" s="675">
        <f>'Financial Model'!Q9</f>
        <v/>
      </c>
      <c r="R66" s="675">
        <f>'Financial Model'!R9</f>
        <v/>
      </c>
      <c r="S66" s="675">
        <f>'Financial Model'!S9</f>
        <v/>
      </c>
      <c r="T66" s="675">
        <f>'Financial Model'!T9</f>
        <v/>
      </c>
    </row>
    <row r="67" ht="14.25" customHeight="1">
      <c r="A67" s="8" t="n"/>
      <c r="C67" s="381">
        <f>'Financial Model'!C14</f>
        <v/>
      </c>
      <c r="D67" s="201" t="n"/>
      <c r="E67" s="201" t="n"/>
      <c r="F67" s="201" t="n"/>
      <c r="G67" s="686">
        <f>'Financial Model'!G14</f>
        <v/>
      </c>
      <c r="H67" s="686">
        <f>'Financial Model'!H14</f>
        <v/>
      </c>
      <c r="I67" s="686">
        <f>'Financial Model'!I14</f>
        <v/>
      </c>
      <c r="J67" s="686">
        <f>'Financial Model'!J14</f>
        <v/>
      </c>
      <c r="K67" s="686">
        <f>'Financial Model'!K14</f>
        <v/>
      </c>
      <c r="L67" s="686">
        <f>'Financial Model'!L14</f>
        <v/>
      </c>
      <c r="M67" s="686">
        <f>'Financial Model'!M14</f>
        <v/>
      </c>
      <c r="N67" s="686">
        <f>'Financial Model'!N14</f>
        <v/>
      </c>
      <c r="O67" s="686">
        <f>'Financial Model'!O14</f>
        <v/>
      </c>
      <c r="P67" s="686">
        <f>'Financial Model'!P14</f>
        <v/>
      </c>
      <c r="Q67" s="686">
        <f>'Financial Model'!Q14</f>
        <v/>
      </c>
      <c r="R67" s="686">
        <f>'Financial Model'!R14</f>
        <v/>
      </c>
      <c r="S67" s="686">
        <f>'Financial Model'!S14</f>
        <v/>
      </c>
      <c r="T67" s="686">
        <f>'Financial Model'!T14</f>
        <v/>
      </c>
    </row>
    <row r="68" ht="14.25" customHeight="1">
      <c r="A68" s="8" t="n"/>
      <c r="C68" s="381">
        <f>'Financial Model'!C27</f>
        <v/>
      </c>
      <c r="D68" s="201" t="n"/>
      <c r="E68" s="201" t="n"/>
      <c r="F68" s="201" t="n"/>
      <c r="G68" s="686">
        <f>'Financial Model'!G27</f>
        <v/>
      </c>
      <c r="H68" s="686">
        <f>'Financial Model'!H27</f>
        <v/>
      </c>
      <c r="I68" s="686">
        <f>'Financial Model'!I27</f>
        <v/>
      </c>
      <c r="J68" s="686">
        <f>'Financial Model'!J27</f>
        <v/>
      </c>
      <c r="K68" s="686">
        <f>'Financial Model'!K27</f>
        <v/>
      </c>
      <c r="L68" s="686">
        <f>'Financial Model'!L27</f>
        <v/>
      </c>
      <c r="M68" s="686">
        <f>'Financial Model'!M27</f>
        <v/>
      </c>
      <c r="N68" s="686">
        <f>'Financial Model'!N27</f>
        <v/>
      </c>
      <c r="O68" s="686">
        <f>'Financial Model'!O27</f>
        <v/>
      </c>
      <c r="P68" s="686">
        <f>'Financial Model'!P27</f>
        <v/>
      </c>
      <c r="Q68" s="686">
        <f>'Financial Model'!Q27</f>
        <v/>
      </c>
      <c r="R68" s="686">
        <f>'Financial Model'!R27</f>
        <v/>
      </c>
      <c r="S68" s="686">
        <f>'Financial Model'!S27</f>
        <v/>
      </c>
      <c r="T68" s="686">
        <f>'Financial Model'!T27</f>
        <v/>
      </c>
    </row>
    <row r="69" ht="14.25" customHeight="1">
      <c r="A69" s="8" t="n"/>
      <c r="C69" s="381">
        <f>'Financial Model'!C32</f>
        <v/>
      </c>
      <c r="D69" s="201" t="n"/>
      <c r="E69" s="201" t="n"/>
      <c r="F69" s="201" t="n"/>
      <c r="G69" s="686">
        <f>'Financial Model'!G32</f>
        <v/>
      </c>
      <c r="H69" s="686">
        <f>'Financial Model'!H32</f>
        <v/>
      </c>
      <c r="I69" s="686">
        <f>'Financial Model'!I32</f>
        <v/>
      </c>
      <c r="J69" s="686">
        <f>'Financial Model'!J32</f>
        <v/>
      </c>
      <c r="K69" s="686">
        <f>'Financial Model'!K32</f>
        <v/>
      </c>
      <c r="L69" s="686">
        <f>'Financial Model'!L32</f>
        <v/>
      </c>
      <c r="M69" s="686">
        <f>'Financial Model'!M32</f>
        <v/>
      </c>
      <c r="N69" s="686">
        <f>'Financial Model'!N32</f>
        <v/>
      </c>
      <c r="O69" s="686">
        <f>'Financial Model'!O32</f>
        <v/>
      </c>
      <c r="P69" s="686">
        <f>'Financial Model'!P32</f>
        <v/>
      </c>
      <c r="Q69" s="686">
        <f>'Financial Model'!Q32</f>
        <v/>
      </c>
      <c r="R69" s="686">
        <f>'Financial Model'!R32</f>
        <v/>
      </c>
      <c r="S69" s="686">
        <f>'Financial Model'!S32</f>
        <v/>
      </c>
      <c r="T69" s="686">
        <f>'Financial Model'!T32</f>
        <v/>
      </c>
    </row>
    <row r="70" ht="14.25" customHeight="1">
      <c r="A70" s="8" t="n"/>
      <c r="C70" s="381">
        <f>'Financial Model'!C41</f>
        <v/>
      </c>
      <c r="D70" s="201" t="n"/>
      <c r="E70" s="201" t="n"/>
      <c r="F70" s="201" t="n"/>
      <c r="G70" s="686">
        <f>'Financial Model'!G41</f>
        <v/>
      </c>
      <c r="H70" s="686">
        <f>'Financial Model'!H41</f>
        <v/>
      </c>
      <c r="I70" s="686">
        <f>'Financial Model'!I41</f>
        <v/>
      </c>
      <c r="J70" s="686">
        <f>'Financial Model'!J41</f>
        <v/>
      </c>
      <c r="K70" s="686">
        <f>'Financial Model'!K41</f>
        <v/>
      </c>
      <c r="L70" s="686">
        <f>'Financial Model'!L41</f>
        <v/>
      </c>
      <c r="M70" s="686">
        <f>'Financial Model'!M41</f>
        <v/>
      </c>
      <c r="N70" s="686">
        <f>'Financial Model'!N41</f>
        <v/>
      </c>
      <c r="O70" s="686">
        <f>'Financial Model'!O41</f>
        <v/>
      </c>
      <c r="P70" s="686">
        <f>'Financial Model'!P41</f>
        <v/>
      </c>
      <c r="Q70" s="686">
        <f>'Financial Model'!Q41</f>
        <v/>
      </c>
      <c r="R70" s="686">
        <f>'Financial Model'!R41</f>
        <v/>
      </c>
      <c r="S70" s="686">
        <f>'Financial Model'!S41</f>
        <v/>
      </c>
      <c r="T70" s="686">
        <f>'Financial Model'!T41</f>
        <v/>
      </c>
    </row>
    <row r="71" ht="14.25" customHeight="1">
      <c r="A71" s="8" t="n"/>
      <c r="C71" s="381">
        <f>Summary!C24</f>
        <v/>
      </c>
      <c r="D71" s="201" t="n"/>
      <c r="E71" s="201" t="n"/>
      <c r="F71" s="201" t="n"/>
      <c r="G71" s="686">
        <f>Summary!G24</f>
        <v/>
      </c>
      <c r="H71" s="686">
        <f>Summary!H24</f>
        <v/>
      </c>
      <c r="I71" s="686">
        <f>Summary!I24</f>
        <v/>
      </c>
      <c r="J71" s="686">
        <f>Summary!J24</f>
        <v/>
      </c>
      <c r="K71" s="686">
        <f>Summary!K24</f>
        <v/>
      </c>
      <c r="L71" s="686">
        <f>Summary!L24</f>
        <v/>
      </c>
      <c r="M71" s="686">
        <f>Summary!M24</f>
        <v/>
      </c>
      <c r="N71" s="686">
        <f>Summary!N24</f>
        <v/>
      </c>
      <c r="O71" s="686">
        <f>Summary!O24</f>
        <v/>
      </c>
      <c r="P71" s="686">
        <f>Summary!P24</f>
        <v/>
      </c>
      <c r="Q71" s="686">
        <f>Summary!Q24</f>
        <v/>
      </c>
      <c r="R71" s="686">
        <f>Summary!R24</f>
        <v/>
      </c>
      <c r="S71" s="686">
        <f>Summary!S24</f>
        <v/>
      </c>
      <c r="T71" s="686">
        <f>Summary!T24</f>
        <v/>
      </c>
    </row>
    <row r="72" ht="14.25" customHeight="1">
      <c r="A72" s="8" t="n"/>
      <c r="C72" s="380" t="inlineStr">
        <is>
          <t>NOPAT</t>
        </is>
      </c>
      <c r="G72" s="628">
        <f>'Financial Model'!G32*(1-'Financial Model'!G39)</f>
        <v/>
      </c>
      <c r="H72" s="628">
        <f>'Financial Model'!H32*(1-'Financial Model'!H39)</f>
        <v/>
      </c>
      <c r="I72" s="628">
        <f>'Financial Model'!I32*(1-'Financial Model'!I39)</f>
        <v/>
      </c>
      <c r="J72" s="628">
        <f>'Financial Model'!J32*(1-'Financial Model'!J39)</f>
        <v/>
      </c>
      <c r="K72" s="628">
        <f>'Financial Model'!K32*(1-'Financial Model'!K39)</f>
        <v/>
      </c>
      <c r="L72" s="628">
        <f>'Financial Model'!L32*(1-'Financial Model'!L39)</f>
        <v/>
      </c>
      <c r="M72" s="628">
        <f>'Financial Model'!M32*(1-'Financial Model'!M39)</f>
        <v/>
      </c>
      <c r="N72" s="628">
        <f>'Financial Model'!N32*(1-'Financial Model'!N39)</f>
        <v/>
      </c>
      <c r="O72" s="628">
        <f>'Financial Model'!O32*(1-'Financial Model'!O39)</f>
        <v/>
      </c>
      <c r="P72" s="628">
        <f>'Financial Model'!P32*(1-'Financial Model'!P39)</f>
        <v/>
      </c>
      <c r="Q72" s="628">
        <f>'Financial Model'!Q32*(1-'Financial Model'!Q39)</f>
        <v/>
      </c>
      <c r="R72" s="628">
        <f>'Financial Model'!R32*(1-'Financial Model'!R39)</f>
        <v/>
      </c>
      <c r="S72" s="628">
        <f>'Financial Model'!S32*(1-'Financial Model'!S39)</f>
        <v/>
      </c>
      <c r="T72" s="628">
        <f>'Financial Model'!T32*(1-'Financial Model'!T39)</f>
        <v/>
      </c>
    </row>
    <row r="73" ht="14.25" customHeight="1">
      <c r="A73" s="8" t="n"/>
      <c r="C73" s="380" t="n"/>
      <c r="G73" s="628" t="n"/>
      <c r="H73" s="628" t="n"/>
      <c r="I73" s="628" t="n"/>
      <c r="J73" s="628" t="n"/>
      <c r="K73" s="628" t="n"/>
      <c r="L73" s="628" t="n"/>
      <c r="M73" s="628" t="n"/>
      <c r="N73" s="628" t="n"/>
      <c r="O73" s="628" t="n"/>
      <c r="P73" s="628" t="n"/>
      <c r="Q73" s="628" t="n"/>
      <c r="R73" s="628" t="n"/>
      <c r="S73" s="628" t="n"/>
      <c r="T73" s="628" t="n"/>
    </row>
    <row r="74" ht="14.25" customHeight="1">
      <c r="A74" s="8" t="n"/>
      <c r="C74" s="381">
        <f>'Financial Model'!C34</f>
        <v/>
      </c>
      <c r="D74" s="201" t="n"/>
      <c r="E74" s="201" t="n"/>
      <c r="F74" s="201" t="n"/>
      <c r="G74" s="675">
        <f>'Financial Model'!G34</f>
        <v/>
      </c>
      <c r="H74" s="675">
        <f>'Financial Model'!H34</f>
        <v/>
      </c>
      <c r="I74" s="675">
        <f>'Financial Model'!I34</f>
        <v/>
      </c>
      <c r="J74" s="675">
        <f>'Financial Model'!J34</f>
        <v/>
      </c>
      <c r="K74" s="675">
        <f>'Financial Model'!K34</f>
        <v/>
      </c>
      <c r="L74" s="675">
        <f>'Financial Model'!L34</f>
        <v/>
      </c>
      <c r="M74" s="675">
        <f>'Financial Model'!M34</f>
        <v/>
      </c>
      <c r="N74" s="675">
        <f>'Financial Model'!N34</f>
        <v/>
      </c>
      <c r="O74" s="675">
        <f>'Financial Model'!O34</f>
        <v/>
      </c>
      <c r="P74" s="675">
        <f>'Financial Model'!P34</f>
        <v/>
      </c>
      <c r="Q74" s="675">
        <f>'Financial Model'!Q34</f>
        <v/>
      </c>
      <c r="R74" s="675">
        <f>'Financial Model'!R34</f>
        <v/>
      </c>
      <c r="S74" s="675">
        <f>'Financial Model'!S34</f>
        <v/>
      </c>
      <c r="T74" s="675">
        <f>'Financial Model'!T34</f>
        <v/>
      </c>
    </row>
    <row r="75" ht="14.25" customHeight="1">
      <c r="A75" s="8" t="n"/>
      <c r="C75" s="380" t="inlineStr">
        <is>
          <t>Principal Payments</t>
        </is>
      </c>
      <c r="G75" s="628">
        <f>SUMIF('Financial Model'!G128:G129,"&lt;"&amp;0,'Financial Model'!G128:G129)</f>
        <v/>
      </c>
      <c r="H75" s="628">
        <f>SUMIF('Financial Model'!H128:H129,"&lt;"&amp;0,'Financial Model'!H128:H129)</f>
        <v/>
      </c>
      <c r="I75" s="628">
        <f>SUMIF('Financial Model'!I128:I129,"&lt;"&amp;0,'Financial Model'!I128:I129)</f>
        <v/>
      </c>
      <c r="J75" s="628">
        <f>SUMIF('Financial Model'!J128:J129,"&lt;"&amp;0,'Financial Model'!J128:J129)</f>
        <v/>
      </c>
      <c r="K75" s="628">
        <f>SUMIF('Financial Model'!K128:K129,"&lt;"&amp;0,'Financial Model'!K128:K129)</f>
        <v/>
      </c>
      <c r="L75" s="628">
        <f>SUMIF('Financial Model'!L128:L129,"&lt;"&amp;0,'Financial Model'!L128:L129)</f>
        <v/>
      </c>
      <c r="M75" s="628">
        <f>SUMIF('Financial Model'!M128:M129,"&lt;"&amp;0,'Financial Model'!M128:M129)</f>
        <v/>
      </c>
      <c r="N75" s="628">
        <f>SUMIF('Financial Model'!N128:N129,"&lt;"&amp;0,'Financial Model'!N128:N129)</f>
        <v/>
      </c>
      <c r="O75" s="628">
        <f>SUMIF('Financial Model'!O128:O129,"&lt;"&amp;0,'Financial Model'!O128:O129)</f>
        <v/>
      </c>
      <c r="P75" s="628">
        <f>SUMIF('Financial Model'!P128:P129,"&lt;"&amp;0,'Financial Model'!P128:P129)</f>
        <v/>
      </c>
      <c r="Q75" s="628">
        <f>SUMIF('Financial Model'!Q128:Q129,"&lt;"&amp;0,'Financial Model'!Q128:Q129)</f>
        <v/>
      </c>
      <c r="R75" s="628">
        <f>SUMIF('Financial Model'!R128:R129,"&lt;"&amp;0,'Financial Model'!R128:R129)</f>
        <v/>
      </c>
      <c r="S75" s="628">
        <f>SUMIF('Financial Model'!S128:S129,"&lt;"&amp;0,'Financial Model'!S128:S129)</f>
        <v/>
      </c>
      <c r="T75" s="628">
        <f>SUMIF('Financial Model'!T128:T129,"&lt;"&amp;0,'Financial Model'!T128:T129)</f>
        <v/>
      </c>
    </row>
    <row r="76" ht="14.25" customHeight="1">
      <c r="A76" s="8" t="n"/>
      <c r="C76" s="412" t="inlineStr">
        <is>
          <t>Total Debt Payments</t>
        </is>
      </c>
      <c r="D76" s="124" t="n"/>
      <c r="E76" s="124" t="n"/>
      <c r="F76" s="124" t="n"/>
      <c r="G76" s="711">
        <f>SUM(G74:G75)</f>
        <v/>
      </c>
      <c r="H76" s="711">
        <f>SUM(H74:H75)</f>
        <v/>
      </c>
      <c r="I76" s="711">
        <f>SUM(I74:I75)</f>
        <v/>
      </c>
      <c r="J76" s="711">
        <f>SUM(J74:J75)</f>
        <v/>
      </c>
      <c r="K76" s="711">
        <f>SUM(K74:K75)</f>
        <v/>
      </c>
      <c r="L76" s="711">
        <f>SUM(L74:L75)</f>
        <v/>
      </c>
      <c r="M76" s="711">
        <f>SUM(M74:M75)</f>
        <v/>
      </c>
      <c r="N76" s="711">
        <f>SUM(N74:N75)</f>
        <v/>
      </c>
      <c r="O76" s="711">
        <f>SUM(O74:O75)</f>
        <v/>
      </c>
      <c r="P76" s="711">
        <f>SUM(P74:P75)</f>
        <v/>
      </c>
      <c r="Q76" s="711">
        <f>SUM(Q74:Q75)</f>
        <v/>
      </c>
      <c r="R76" s="711">
        <f>SUM(R74:R75)</f>
        <v/>
      </c>
      <c r="S76" s="711">
        <f>SUM(S74:S75)</f>
        <v/>
      </c>
      <c r="T76" s="711">
        <f>SUM(T74:T75)</f>
        <v/>
      </c>
    </row>
    <row r="77" ht="14.25" customHeight="1">
      <c r="A77" s="8" t="n"/>
      <c r="C77" s="380" t="n"/>
      <c r="G77" s="628" t="n"/>
      <c r="H77" s="628" t="n"/>
      <c r="I77" s="628" t="n"/>
      <c r="J77" s="628" t="n"/>
      <c r="K77" s="628" t="n"/>
      <c r="L77" s="628" t="n"/>
      <c r="M77" s="628" t="n"/>
      <c r="N77" s="628" t="n"/>
      <c r="O77" s="628" t="n"/>
      <c r="P77" s="628" t="n"/>
      <c r="Q77" s="628" t="n"/>
      <c r="R77" s="628" t="n"/>
      <c r="S77" s="628" t="n"/>
      <c r="T77" s="628" t="n"/>
    </row>
    <row r="78" hidden="1" ht="14.25" customHeight="1">
      <c r="A78" s="8" t="n"/>
      <c r="C78" s="214" t="n"/>
      <c r="G78" s="628" t="n"/>
      <c r="H78" s="628" t="n"/>
      <c r="I78" s="628" t="n"/>
      <c r="J78" s="628" t="n"/>
      <c r="K78" s="628" t="n"/>
      <c r="L78" s="628" t="n"/>
      <c r="M78" s="628" t="n"/>
      <c r="N78" s="628" t="n"/>
      <c r="O78" s="628" t="n"/>
      <c r="P78" s="628" t="n"/>
      <c r="Q78" s="628" t="n"/>
      <c r="R78" s="628" t="n"/>
      <c r="S78" s="628" t="n"/>
      <c r="T78" s="628" t="n"/>
    </row>
    <row r="79" hidden="1" ht="10.05" customHeight="1">
      <c r="A79" s="8" t="n"/>
    </row>
    <row r="80" hidden="1" ht="14.55" customHeight="1">
      <c r="A80" s="8" t="n"/>
    </row>
    <row r="81" hidden="1" ht="14.55" customHeight="1">
      <c r="A81" s="8" t="n"/>
    </row>
    <row r="82" hidden="1" ht="14.55" customHeight="1">
      <c r="A82" s="8" t="n"/>
    </row>
    <row r="83" hidden="1" ht="14.25" customHeight="1">
      <c r="A83" s="8" t="n"/>
    </row>
    <row r="84" hidden="1" ht="14.25" customHeight="1">
      <c r="A84" s="8" t="n"/>
    </row>
    <row r="85" hidden="1" ht="14.25" customHeight="1">
      <c r="A85" s="8" t="n"/>
    </row>
    <row r="86" hidden="1" ht="14.25" customHeight="1">
      <c r="A86" s="8" t="n"/>
    </row>
    <row r="87" hidden="1" ht="15" customHeight="1">
      <c r="A87" s="8" t="n"/>
    </row>
    <row r="88" hidden="1" ht="15" customHeight="1">
      <c r="A88" s="8" t="n"/>
    </row>
    <row r="89" hidden="1" ht="14.25" customHeight="1">
      <c r="A89" s="8" t="n"/>
    </row>
    <row r="90" hidden="1" ht="14.25" customHeight="1">
      <c r="A90" s="8" t="n"/>
    </row>
    <row r="91" hidden="1" ht="14.25" customHeight="1">
      <c r="A91" s="8" t="n"/>
    </row>
    <row r="92" hidden="1" ht="15" customHeight="1">
      <c r="A92" s="8" t="n"/>
    </row>
    <row r="93" hidden="1" ht="14.25" customHeight="1">
      <c r="A93" s="8" t="n"/>
    </row>
    <row r="94" hidden="1" ht="14.25" customHeight="1">
      <c r="A94" s="8" t="n"/>
    </row>
    <row r="95" hidden="1" ht="14.25" customHeight="1">
      <c r="A95" s="8" t="n"/>
    </row>
    <row r="96" hidden="1" ht="14.25" customHeight="1">
      <c r="A96" s="8" t="n"/>
    </row>
    <row r="97" hidden="1" ht="14.25" customHeight="1">
      <c r="A97" s="8" t="n"/>
    </row>
    <row r="98" hidden="1" ht="14.25" customHeight="1">
      <c r="A98" s="8" t="n"/>
    </row>
    <row r="99" hidden="1" ht="14.25" customHeight="1">
      <c r="A99" s="8" t="n"/>
    </row>
    <row r="100" hidden="1" ht="15" customHeight="1">
      <c r="A100" s="8" t="n"/>
    </row>
    <row r="101" hidden="1" ht="14.25" customHeight="1">
      <c r="A101" s="8" t="n"/>
    </row>
    <row r="102" hidden="1" ht="14.25" customHeight="1">
      <c r="A102" s="8" t="n"/>
    </row>
    <row r="103" hidden="1" ht="14.25" customHeight="1">
      <c r="A103" s="8" t="n"/>
    </row>
    <row r="104" hidden="1" ht="14.25" customHeight="1">
      <c r="A104" s="8" t="n"/>
    </row>
    <row r="105" hidden="1" ht="14.25" customHeight="1">
      <c r="A105" s="8" t="n"/>
    </row>
    <row r="106" hidden="1" ht="15" customHeight="1">
      <c r="A106" s="8" t="n"/>
    </row>
    <row r="107" hidden="1" ht="14.25" customHeight="1">
      <c r="A107" s="8" t="n"/>
    </row>
    <row r="108" hidden="1" ht="14.25" customHeight="1">
      <c r="A108" s="8" t="n"/>
    </row>
    <row r="109" hidden="1" ht="14.25" customHeight="1">
      <c r="A109" s="8" t="n"/>
    </row>
    <row r="110" hidden="1" ht="14.25" customHeight="1">
      <c r="A110" s="8" t="n"/>
    </row>
    <row r="111" hidden="1" ht="14.25" customHeight="1">
      <c r="A111" s="8" t="n"/>
    </row>
    <row r="112" hidden="1" ht="15" customHeight="1">
      <c r="A112" s="8" t="n"/>
    </row>
    <row r="113" hidden="1" ht="15" customHeight="1">
      <c r="A113" s="8" t="n"/>
    </row>
    <row r="114" hidden="1" ht="15" customHeight="1">
      <c r="A114" s="8" t="n"/>
    </row>
    <row r="115" hidden="1" ht="14.25" customHeight="1">
      <c r="A115" s="8" t="n"/>
    </row>
    <row r="116" hidden="1" ht="15" customHeight="1">
      <c r="A116" s="8" t="n"/>
    </row>
    <row r="117" hidden="1" ht="15" customHeight="1">
      <c r="A117" s="8" t="n"/>
    </row>
    <row r="118" hidden="1" ht="14.25" customHeight="1">
      <c r="A118" s="8" t="n"/>
    </row>
    <row r="119" hidden="1" ht="15" customHeight="1">
      <c r="A119" s="8" t="n"/>
    </row>
    <row r="120" hidden="1" ht="14.25" customHeight="1">
      <c r="A120" s="8" t="n"/>
    </row>
    <row r="121" hidden="1" ht="10.05" customHeight="1">
      <c r="A121" s="8" t="n"/>
    </row>
    <row r="122" hidden="1" ht="14.25" customHeight="1">
      <c r="A122" s="8" t="n"/>
    </row>
    <row r="123" hidden="1" ht="14.25" customHeight="1">
      <c r="A123" s="8" t="n"/>
    </row>
    <row r="124" hidden="1" ht="14.25" customHeight="1">
      <c r="A124" s="8" t="n"/>
    </row>
    <row r="125" hidden="1" ht="10.05" customHeight="1">
      <c r="A125" s="8" t="n"/>
    </row>
    <row r="126" hidden="1" ht="14.55" customHeight="1">
      <c r="A126" s="8" t="n"/>
    </row>
    <row r="127" hidden="1" ht="14.55" customHeight="1">
      <c r="A127" s="8" t="n"/>
    </row>
    <row r="128" hidden="1" ht="14.55" customHeight="1">
      <c r="A128" s="8" t="n"/>
    </row>
    <row r="129" hidden="1" ht="14.25" customHeight="1">
      <c r="A129" s="8" t="n"/>
    </row>
    <row r="130" hidden="1" ht="14.25" customHeight="1">
      <c r="A130" s="8" t="n"/>
    </row>
    <row r="131" hidden="1" ht="14.25" customHeight="1">
      <c r="A131" s="8" t="n"/>
    </row>
    <row r="132" hidden="1" ht="14.25" customHeight="1">
      <c r="A132" s="8" t="n"/>
    </row>
    <row r="133" hidden="1" ht="14.25" customHeight="1">
      <c r="A133" s="8" t="n"/>
    </row>
    <row r="134" hidden="1" ht="14.25" customHeight="1">
      <c r="A134" s="8" t="n"/>
    </row>
    <row r="135" hidden="1" ht="14.25" customHeight="1">
      <c r="A135" s="8" t="n"/>
    </row>
    <row r="136" hidden="1" ht="14.25" customHeight="1">
      <c r="A136" s="8" t="n"/>
    </row>
    <row r="137" hidden="1" ht="14.25" customHeight="1">
      <c r="A137" s="8" t="n"/>
    </row>
    <row r="138" hidden="1" ht="14.25" customHeight="1">
      <c r="A138" s="8" t="n"/>
    </row>
    <row r="139" hidden="1" ht="14.25" customHeight="1">
      <c r="A139" s="8" t="n"/>
    </row>
    <row r="140" hidden="1" ht="14.25" customHeight="1">
      <c r="A140" s="8" t="n"/>
    </row>
    <row r="141" hidden="1" ht="14.25" customHeight="1">
      <c r="A141" s="8" t="n"/>
    </row>
    <row r="142" hidden="1" ht="14.25" customHeight="1">
      <c r="A142" s="8" t="n"/>
    </row>
    <row r="143" hidden="1" ht="14.25" customHeight="1">
      <c r="A143" s="8" t="n"/>
    </row>
    <row r="144" hidden="1" ht="14.25" customHeight="1">
      <c r="A144" s="8" t="n"/>
    </row>
    <row r="145" hidden="1" ht="14.25" customHeight="1">
      <c r="A145" s="8" t="n"/>
    </row>
    <row r="146" hidden="1" ht="14.25" customHeight="1">
      <c r="A146" s="8" t="n"/>
    </row>
    <row r="147" hidden="1" ht="14.25" customHeight="1">
      <c r="A147" s="8" t="n"/>
    </row>
    <row r="148" hidden="1" ht="14.25" customHeight="1">
      <c r="A148" s="8" t="n"/>
    </row>
    <row r="149" hidden="1" ht="15" customHeight="1">
      <c r="A149" s="8" t="n"/>
    </row>
    <row r="150" hidden="1" ht="14.25" customHeight="1">
      <c r="A150" s="8" t="n"/>
    </row>
    <row r="151" hidden="1" ht="14.25" customHeight="1">
      <c r="A151" s="8" t="n"/>
    </row>
    <row r="152" hidden="1" ht="15" customHeight="1">
      <c r="A152" s="8" t="n"/>
    </row>
    <row r="153" hidden="1" ht="15" customHeight="1">
      <c r="A153" s="8" t="n"/>
    </row>
    <row r="154" hidden="1" ht="14.25" customHeight="1">
      <c r="A154" s="8" t="n"/>
    </row>
    <row r="155" hidden="1" ht="14.25" customHeight="1">
      <c r="A155" s="8" t="n"/>
    </row>
    <row r="156" hidden="1" ht="15" customHeight="1">
      <c r="A156" s="8" t="n"/>
    </row>
    <row r="157" hidden="1" ht="14.25" customHeight="1">
      <c r="A157" s="8" t="n"/>
    </row>
    <row r="158" hidden="1" ht="14.25" customHeight="1">
      <c r="A158" s="8" t="n"/>
    </row>
    <row r="159" hidden="1" ht="14.25" customHeight="1">
      <c r="A159" s="8" t="n"/>
    </row>
    <row r="160" hidden="1" ht="14.25" customHeight="1">
      <c r="A160" s="8" t="n"/>
    </row>
    <row r="161" hidden="1" ht="14.25" customHeight="1">
      <c r="A161" s="8" t="n"/>
    </row>
    <row r="162" hidden="1" ht="14.25" customHeight="1">
      <c r="A162" s="8" t="n"/>
    </row>
    <row r="163" hidden="1" ht="15" customHeight="1">
      <c r="A163" s="8" t="n"/>
    </row>
    <row r="164" hidden="1" ht="14.25" customHeight="1">
      <c r="A164" s="8" t="n"/>
    </row>
    <row r="165" hidden="1" outlineLevel="1" ht="15" customHeight="1">
      <c r="A165" s="8" t="n"/>
    </row>
    <row r="166" hidden="1" collapsed="1" ht="14.25" customHeight="1">
      <c r="A166" s="8" t="n"/>
    </row>
    <row r="167" hidden="1" ht="15" customHeight="1">
      <c r="A167" s="8" t="n"/>
    </row>
    <row r="168" hidden="1" ht="14.55" customHeight="1">
      <c r="A168" s="8" t="n"/>
    </row>
    <row r="169" hidden="1" ht="14.55" customHeight="1">
      <c r="A169" s="8" t="n"/>
    </row>
    <row r="170" hidden="1" ht="15" customHeight="1">
      <c r="A170" s="8" t="n"/>
    </row>
    <row r="171" hidden="1" ht="10.05" customHeight="1">
      <c r="A171" s="8" t="n"/>
    </row>
    <row r="172" hidden="1">
      <c r="A172" s="8" t="n"/>
    </row>
    <row r="173" hidden="1">
      <c r="A173" s="8" t="n"/>
    </row>
    <row r="174" hidden="1">
      <c r="A174" s="8" t="n"/>
    </row>
    <row r="175" hidden="1">
      <c r="A175" s="8" t="n"/>
    </row>
    <row r="176" hidden="1">
      <c r="A176" s="8" t="n"/>
    </row>
    <row r="177" hidden="1">
      <c r="A177" s="8" t="n"/>
    </row>
  </sheetData>
  <pageMargins left="0.7" right="0.7" top="0.75" bottom="0.75" header="0.3" footer="0.3"/>
  <pageSetup orientation="portrait" scale="34"/>
</worksheet>
</file>

<file path=xl/worksheets/sheet13.xml><?xml version="1.0" encoding="utf-8"?>
<worksheet xmlns="http://schemas.openxmlformats.org/spreadsheetml/2006/main">
  <sheetPr>
    <tabColor rgb="FF16395B"/>
    <outlinePr summaryBelow="1" summaryRight="1"/>
    <pageSetUpPr/>
  </sheetPr>
  <dimension ref="A1:A1"/>
  <sheetViews>
    <sheetView view="pageBreakPreview" zoomScale="70" zoomScaleNormal="100" zoomScaleSheetLayoutView="70" workbookViewId="0">
      <selection activeCell="A1" sqref="A1"/>
    </sheetView>
  </sheetViews>
  <sheetFormatPr baseColWidth="8" defaultRowHeight="12.75"/>
  <sheetData/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tabColor theme="0" tint="-0.0499893185216834"/>
    <outlinePr summaryBelow="1" summaryRight="1"/>
    <pageSetUpPr/>
  </sheetPr>
  <dimension ref="A1:R64"/>
  <sheetViews>
    <sheetView showGridLines="0" view="pageBreakPreview" zoomScale="70" zoomScaleNormal="100" zoomScaleSheetLayoutView="70" workbookViewId="0">
      <selection activeCell="A1" sqref="A1"/>
    </sheetView>
  </sheetViews>
  <sheetFormatPr baseColWidth="8" defaultColWidth="12.53125" defaultRowHeight="13.5"/>
  <cols>
    <col width="1.59765625" customWidth="1" style="191" min="1" max="1"/>
    <col width="1.59765625" customWidth="1" style="8" min="2" max="2"/>
    <col width="13.19921875" bestFit="1" customWidth="1" style="8" min="3" max="8"/>
    <col width="13.19921875" customWidth="1" style="8" min="9" max="9"/>
    <col outlineLevel="1" width="13.19921875" customWidth="1" style="8" min="10" max="15"/>
    <col width="13.19921875" bestFit="1" customWidth="1" style="427" min="16" max="16"/>
    <col width="1.59765625" customWidth="1" style="8" min="17" max="17"/>
    <col width="12.53125" customWidth="1" style="8" min="18" max="16384"/>
  </cols>
  <sheetData>
    <row r="1">
      <c r="A1" s="216" t="n"/>
    </row>
    <row r="2" ht="10.05" customHeight="1" thickBot="1">
      <c r="A2" s="216" t="n"/>
      <c r="C2" s="280" t="n"/>
      <c r="D2" s="281" t="n"/>
      <c r="E2" s="281" t="n"/>
      <c r="F2" s="281" t="n"/>
      <c r="G2" s="281" t="n"/>
      <c r="H2" s="281" t="n"/>
      <c r="I2" s="281" t="n"/>
      <c r="J2" s="281" t="n"/>
      <c r="K2" s="281" t="n"/>
      <c r="L2" s="281" t="n"/>
      <c r="M2" s="281" t="n"/>
      <c r="N2" s="281" t="n"/>
      <c r="O2" s="281" t="n"/>
      <c r="P2" s="428" t="n"/>
    </row>
    <row r="3" ht="14.55" customHeight="1">
      <c r="A3" s="216" t="n"/>
      <c r="C3" s="51">
        <f>Assumptions!$G$5</f>
        <v/>
      </c>
      <c r="D3" s="52" t="n"/>
      <c r="E3" s="52" t="n"/>
      <c r="F3" s="52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429" t="n"/>
    </row>
    <row r="4" ht="14.55" customHeight="1">
      <c r="A4" s="7" t="inlineStr">
        <is>
          <t>X</t>
        </is>
      </c>
      <c r="C4" s="53" t="inlineStr">
        <is>
          <t>DCF Analysis</t>
        </is>
      </c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430" t="n"/>
      <c r="R4" s="662" t="inlineStr">
        <is>
          <t>X</t>
        </is>
      </c>
    </row>
    <row r="5" ht="14.55" customHeight="1" thickBot="1">
      <c r="A5" s="216" t="n"/>
      <c r="C5" s="56">
        <f>Assumptions!$G$9</f>
        <v/>
      </c>
      <c r="D5" s="57" t="n"/>
      <c r="E5" s="57" t="n"/>
      <c r="F5" s="57" t="n"/>
      <c r="G5" s="57">
        <f>Drivers!K6</f>
        <v/>
      </c>
      <c r="H5" s="57">
        <f>Drivers!L6</f>
        <v/>
      </c>
      <c r="I5" s="57">
        <f>Drivers!M6</f>
        <v/>
      </c>
      <c r="J5" s="57">
        <f>Drivers!N6</f>
        <v/>
      </c>
      <c r="K5" s="57">
        <f>Drivers!O6</f>
        <v/>
      </c>
      <c r="L5" s="57">
        <f>Drivers!P6</f>
        <v/>
      </c>
      <c r="M5" s="57">
        <f>Drivers!Q6</f>
        <v/>
      </c>
      <c r="N5" s="57">
        <f>Drivers!R6</f>
        <v/>
      </c>
      <c r="O5" s="57">
        <f>Drivers!S6</f>
        <v/>
      </c>
      <c r="P5" s="485">
        <f>Drivers!T6</f>
        <v/>
      </c>
      <c r="R5" s="662" t="inlineStr">
        <is>
          <t>X</t>
        </is>
      </c>
    </row>
    <row r="6">
      <c r="A6" s="216" t="n"/>
      <c r="C6" s="62" t="n"/>
      <c r="D6" s="62" t="n"/>
      <c r="E6" s="62" t="n"/>
      <c r="F6" s="62" t="n"/>
      <c r="G6" s="62" t="n"/>
      <c r="H6" s="62" t="n"/>
      <c r="I6" s="62" t="n"/>
      <c r="J6" s="62" t="n"/>
      <c r="K6" s="62" t="n"/>
      <c r="L6" s="62" t="n"/>
      <c r="M6" s="62" t="n"/>
      <c r="N6" s="62" t="n"/>
      <c r="O6" s="62" t="n"/>
      <c r="P6" s="428" t="n"/>
      <c r="R6" s="662" t="inlineStr">
        <is>
          <t>X</t>
        </is>
      </c>
    </row>
    <row r="7" ht="15" customHeight="1">
      <c r="A7" s="216" t="n"/>
      <c r="C7" s="62" t="inlineStr">
        <is>
          <t>EBIT</t>
        </is>
      </c>
      <c r="D7" s="62" t="n"/>
      <c r="E7" s="62" t="n"/>
      <c r="F7" s="62" t="n"/>
      <c r="G7" s="768">
        <f>'Financial Model'!K32</f>
        <v/>
      </c>
      <c r="H7" s="768">
        <f>'Financial Model'!L32</f>
        <v/>
      </c>
      <c r="I7" s="768">
        <f>'Financial Model'!M32</f>
        <v/>
      </c>
      <c r="J7" s="768">
        <f>'Financial Model'!N32</f>
        <v/>
      </c>
      <c r="K7" s="768">
        <f>'Financial Model'!O32</f>
        <v/>
      </c>
      <c r="L7" s="768">
        <f>'Financial Model'!P32</f>
        <v/>
      </c>
      <c r="M7" s="768">
        <f>'Financial Model'!Q32</f>
        <v/>
      </c>
      <c r="N7" s="768">
        <f>'Financial Model'!R32</f>
        <v/>
      </c>
      <c r="O7" s="768">
        <f>'Financial Model'!S32</f>
        <v/>
      </c>
      <c r="P7" s="768">
        <f>'Financial Model'!T32</f>
        <v/>
      </c>
      <c r="R7" s="662" t="inlineStr">
        <is>
          <t>X</t>
        </is>
      </c>
    </row>
    <row r="8" ht="15" customHeight="1">
      <c r="A8" s="216" t="n"/>
      <c r="C8" s="283" t="inlineStr">
        <is>
          <t>x (1 - Tax Rate)</t>
        </is>
      </c>
      <c r="D8" s="284" t="n"/>
      <c r="E8" s="284" t="n"/>
      <c r="F8" s="284" t="n"/>
      <c r="G8" s="285">
        <f>1-'Financial Model'!K39</f>
        <v/>
      </c>
      <c r="H8" s="285">
        <f>1-'Financial Model'!L39</f>
        <v/>
      </c>
      <c r="I8" s="285">
        <f>1-'Financial Model'!M39</f>
        <v/>
      </c>
      <c r="J8" s="285">
        <f>1-'Financial Model'!N39</f>
        <v/>
      </c>
      <c r="K8" s="285">
        <f>1-'Financial Model'!O39</f>
        <v/>
      </c>
      <c r="L8" s="285">
        <f>1-'Financial Model'!P39</f>
        <v/>
      </c>
      <c r="M8" s="285">
        <f>1-'Financial Model'!Q39</f>
        <v/>
      </c>
      <c r="N8" s="285">
        <f>1-'Financial Model'!R39</f>
        <v/>
      </c>
      <c r="O8" s="285">
        <f>1-'Financial Model'!S39</f>
        <v/>
      </c>
      <c r="P8" s="431">
        <f>1-'Financial Model'!T39</f>
        <v/>
      </c>
      <c r="R8" s="662" t="inlineStr">
        <is>
          <t>X</t>
        </is>
      </c>
    </row>
    <row r="9" ht="15" customHeight="1">
      <c r="A9" s="216" t="n"/>
      <c r="C9" s="283" t="inlineStr">
        <is>
          <t>+ Depreciation &amp; Amortization</t>
        </is>
      </c>
      <c r="D9" s="284" t="n"/>
      <c r="E9" s="284" t="n"/>
      <c r="F9" s="284" t="n"/>
      <c r="G9" s="769">
        <f>SUM('Financial Model'!K99:K100)</f>
        <v/>
      </c>
      <c r="H9" s="769">
        <f>SUM('Financial Model'!L99:L100)</f>
        <v/>
      </c>
      <c r="I9" s="769">
        <f>SUM('Financial Model'!M99:M100)</f>
        <v/>
      </c>
      <c r="J9" s="769">
        <f>SUM('Financial Model'!N99:N100)</f>
        <v/>
      </c>
      <c r="K9" s="769">
        <f>SUM('Financial Model'!O99:O100)</f>
        <v/>
      </c>
      <c r="L9" s="769">
        <f>SUM('Financial Model'!P99:P100)</f>
        <v/>
      </c>
      <c r="M9" s="769">
        <f>SUM('Financial Model'!Q99:Q100)</f>
        <v/>
      </c>
      <c r="N9" s="769">
        <f>SUM('Financial Model'!R99:R100)</f>
        <v/>
      </c>
      <c r="O9" s="769">
        <f>SUM('Financial Model'!S99:S100)</f>
        <v/>
      </c>
      <c r="P9" s="769">
        <f>SUM('Financial Model'!T99:T100)</f>
        <v/>
      </c>
      <c r="R9" s="662" t="inlineStr">
        <is>
          <t>X</t>
        </is>
      </c>
    </row>
    <row r="10" ht="15" customHeight="1">
      <c r="A10" s="216" t="n"/>
      <c r="C10" s="283" t="inlineStr">
        <is>
          <t>+ Changes in Net Working Capital</t>
        </is>
      </c>
      <c r="D10" s="284" t="n"/>
      <c r="E10" s="284" t="n"/>
      <c r="F10" s="284" t="n"/>
      <c r="G10" s="770">
        <f>'Financial Model'!K114</f>
        <v/>
      </c>
      <c r="H10" s="770">
        <f>'Financial Model'!L114</f>
        <v/>
      </c>
      <c r="I10" s="770">
        <f>'Financial Model'!M114</f>
        <v/>
      </c>
      <c r="J10" s="770">
        <f>'Financial Model'!N114</f>
        <v/>
      </c>
      <c r="K10" s="770">
        <f>'Financial Model'!O114</f>
        <v/>
      </c>
      <c r="L10" s="770">
        <f>'Financial Model'!P114</f>
        <v/>
      </c>
      <c r="M10" s="770">
        <f>'Financial Model'!Q114</f>
        <v/>
      </c>
      <c r="N10" s="770">
        <f>'Financial Model'!R114</f>
        <v/>
      </c>
      <c r="O10" s="770">
        <f>'Financial Model'!S114</f>
        <v/>
      </c>
      <c r="P10" s="770">
        <f>'Financial Model'!T114</f>
        <v/>
      </c>
      <c r="R10" s="662" t="inlineStr">
        <is>
          <t>X</t>
        </is>
      </c>
    </row>
    <row r="11" ht="15" customHeight="1">
      <c r="A11" s="216" t="n"/>
      <c r="C11" s="283" t="inlineStr">
        <is>
          <t>+ Other Non-Cash</t>
        </is>
      </c>
      <c r="D11" s="284" t="n"/>
      <c r="E11" s="284" t="n"/>
      <c r="F11" s="284" t="n"/>
      <c r="G11" s="770">
        <f>'Financial Model'!K102</f>
        <v/>
      </c>
      <c r="H11" s="770">
        <f>'Financial Model'!L102</f>
        <v/>
      </c>
      <c r="I11" s="770">
        <f>'Financial Model'!M102</f>
        <v/>
      </c>
      <c r="J11" s="770">
        <f>'Financial Model'!N102</f>
        <v/>
      </c>
      <c r="K11" s="770">
        <f>'Financial Model'!O102</f>
        <v/>
      </c>
      <c r="L11" s="770">
        <f>'Financial Model'!P102</f>
        <v/>
      </c>
      <c r="M11" s="770">
        <f>'Financial Model'!Q102</f>
        <v/>
      </c>
      <c r="N11" s="770">
        <f>'Financial Model'!R102</f>
        <v/>
      </c>
      <c r="O11" s="770">
        <f>'Financial Model'!S102</f>
        <v/>
      </c>
      <c r="P11" s="770">
        <f>'Financial Model'!T102</f>
        <v/>
      </c>
      <c r="R11" s="662" t="inlineStr">
        <is>
          <t>X</t>
        </is>
      </c>
    </row>
    <row r="12" ht="15" customHeight="1">
      <c r="A12" s="216" t="n"/>
      <c r="C12" s="64" t="inlineStr">
        <is>
          <t>- Capital Expenditures</t>
        </is>
      </c>
      <c r="D12" s="62" t="n"/>
      <c r="E12" s="62" t="n"/>
      <c r="F12" s="62" t="n"/>
      <c r="G12" s="771">
        <f>'Financial Model'!K118</f>
        <v/>
      </c>
      <c r="H12" s="771">
        <f>'Financial Model'!L118</f>
        <v/>
      </c>
      <c r="I12" s="771">
        <f>'Financial Model'!M118</f>
        <v/>
      </c>
      <c r="J12" s="771">
        <f>'Financial Model'!N118</f>
        <v/>
      </c>
      <c r="K12" s="771">
        <f>'Financial Model'!O118</f>
        <v/>
      </c>
      <c r="L12" s="771">
        <f>'Financial Model'!P118</f>
        <v/>
      </c>
      <c r="M12" s="771">
        <f>'Financial Model'!Q118</f>
        <v/>
      </c>
      <c r="N12" s="771">
        <f>'Financial Model'!R118</f>
        <v/>
      </c>
      <c r="O12" s="771">
        <f>'Financial Model'!S118</f>
        <v/>
      </c>
      <c r="P12" s="771">
        <f>'Financial Model'!T118</f>
        <v/>
      </c>
      <c r="R12" s="662" t="inlineStr">
        <is>
          <t>X</t>
        </is>
      </c>
    </row>
    <row r="13" ht="15" customHeight="1">
      <c r="A13" s="216" t="n"/>
      <c r="C13" s="286" t="inlineStr">
        <is>
          <t>Unlevered Free Cash Flow (FCFF)</t>
        </is>
      </c>
      <c r="D13" s="287" t="n"/>
      <c r="E13" s="287" t="n"/>
      <c r="F13" s="287" t="n"/>
      <c r="G13" s="772">
        <f>G7*G8+SUM(G9:G12)</f>
        <v/>
      </c>
      <c r="H13" s="772">
        <f>H7*H8+SUM(H9:H12)</f>
        <v/>
      </c>
      <c r="I13" s="772">
        <f>I7*I8+SUM(I9:I12)</f>
        <v/>
      </c>
      <c r="J13" s="772">
        <f>J7*J8+SUM(J9:J12)</f>
        <v/>
      </c>
      <c r="K13" s="772">
        <f>K7*K8+SUM(K9:K12)</f>
        <v/>
      </c>
      <c r="L13" s="772">
        <f>L7*L8+SUM(L9:L12)</f>
        <v/>
      </c>
      <c r="M13" s="772">
        <f>M7*M8+SUM(M9:M12)</f>
        <v/>
      </c>
      <c r="N13" s="772">
        <f>N7*N8+SUM(N9:N12)</f>
        <v/>
      </c>
      <c r="O13" s="772">
        <f>O7*O8+SUM(O9:O12)</f>
        <v/>
      </c>
      <c r="P13" s="772">
        <f>P7*P8+SUM(P9:P12)</f>
        <v/>
      </c>
      <c r="R13" s="662" t="inlineStr">
        <is>
          <t>X</t>
        </is>
      </c>
    </row>
    <row r="14" ht="13.9" customHeight="1">
      <c r="A14" s="216" t="n"/>
      <c r="C14" s="288" t="n"/>
      <c r="D14" s="289" t="n"/>
      <c r="E14" s="289" t="n"/>
      <c r="F14" s="289" t="n"/>
      <c r="G14" s="289" t="n"/>
      <c r="H14" s="289" t="n"/>
      <c r="I14" s="289" t="n"/>
      <c r="J14" s="289" t="n"/>
      <c r="K14" s="289" t="n"/>
      <c r="L14" s="289" t="n"/>
      <c r="M14" s="289" t="n"/>
      <c r="N14" s="289" t="n"/>
      <c r="O14" s="289" t="n"/>
      <c r="P14" s="432" t="n"/>
      <c r="R14" s="662" t="inlineStr">
        <is>
          <t>X</t>
        </is>
      </c>
    </row>
    <row r="15" ht="14.55" customHeight="1">
      <c r="A15" s="216" t="n"/>
      <c r="C15" s="290" t="inlineStr">
        <is>
          <t>NPV of FCFF</t>
        </is>
      </c>
      <c r="D15" s="291" t="n"/>
      <c r="E15" s="291" t="n"/>
      <c r="F15" s="291" t="n"/>
      <c r="G15" s="291" t="n"/>
      <c r="H15" s="773" t="n"/>
      <c r="I15" s="773" t="n"/>
      <c r="J15" s="773" t="n"/>
      <c r="K15" s="773" t="n"/>
      <c r="L15" s="773" t="n"/>
      <c r="M15" s="773" t="n"/>
      <c r="N15" s="773" t="n"/>
      <c r="O15" s="773" t="n"/>
      <c r="P15" s="774">
        <f>NPV(P61,G13:P13)</f>
        <v/>
      </c>
      <c r="R15" s="662" t="inlineStr">
        <is>
          <t>X</t>
        </is>
      </c>
    </row>
    <row r="16">
      <c r="A16" s="216" t="n"/>
      <c r="C16" s="64" t="n"/>
      <c r="D16" s="62" t="n"/>
      <c r="E16" s="62" t="n"/>
      <c r="F16" s="62" t="n"/>
      <c r="G16" s="62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428" t="n"/>
      <c r="R16" s="662" t="inlineStr">
        <is>
          <t>X</t>
        </is>
      </c>
    </row>
    <row r="17">
      <c r="A17" s="216" t="n"/>
      <c r="C17" s="64" t="inlineStr">
        <is>
          <t>Final Year FCF</t>
        </is>
      </c>
      <c r="D17" s="62" t="n"/>
      <c r="E17" s="62" t="n"/>
      <c r="F17" s="62" t="n"/>
      <c r="G17" s="62" t="n"/>
      <c r="H17" s="775" t="n"/>
      <c r="I17" s="775" t="n"/>
      <c r="J17" s="775" t="n"/>
      <c r="K17" s="775" t="n"/>
      <c r="L17" s="775" t="n"/>
      <c r="M17" s="775" t="n"/>
      <c r="N17" s="775" t="n"/>
      <c r="O17" s="775" t="n"/>
      <c r="P17" s="776">
        <f>P13</f>
        <v/>
      </c>
      <c r="R17" s="662" t="inlineStr">
        <is>
          <t>X</t>
        </is>
      </c>
    </row>
    <row r="18">
      <c r="A18" s="216" t="n"/>
      <c r="C18" s="283" t="inlineStr">
        <is>
          <t>x 1 + Perpetual Growth Rate</t>
        </is>
      </c>
      <c r="D18" s="284" t="n"/>
      <c r="E18" s="284" t="n"/>
      <c r="F18" s="284" t="n"/>
      <c r="G18" s="284" t="n"/>
      <c r="H18" s="285" t="n"/>
      <c r="I18" s="71" t="n"/>
      <c r="J18" s="71" t="n"/>
      <c r="K18" s="71" t="n"/>
      <c r="L18" s="71" t="n"/>
      <c r="M18" s="71" t="n"/>
      <c r="N18" s="71" t="n"/>
      <c r="O18" s="71" t="n"/>
      <c r="P18" s="414" t="n">
        <v>1.02</v>
      </c>
      <c r="R18" s="662" t="inlineStr">
        <is>
          <t>g = 2.0%</t>
        </is>
      </c>
    </row>
    <row r="19">
      <c r="A19" s="216" t="n"/>
      <c r="C19" s="64" t="inlineStr">
        <is>
          <t>/ (WACC - Perpetual Growth Rate)</t>
        </is>
      </c>
      <c r="D19" s="62" t="n"/>
      <c r="E19" s="62" t="n"/>
      <c r="F19" s="62" t="n"/>
      <c r="G19" s="62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428">
        <f>+P61-(P18-1)</f>
        <v/>
      </c>
      <c r="R19" s="662" t="inlineStr">
        <is>
          <t>X</t>
        </is>
      </c>
    </row>
    <row r="20" ht="13.9" customHeight="1">
      <c r="A20" s="216" t="n"/>
      <c r="C20" s="67" t="inlineStr">
        <is>
          <t>Terminal Value</t>
        </is>
      </c>
      <c r="D20" s="67" t="n"/>
      <c r="E20" s="67" t="n"/>
      <c r="F20" s="67" t="n"/>
      <c r="G20" s="67" t="n"/>
      <c r="H20" s="777" t="n"/>
      <c r="I20" s="777" t="n"/>
      <c r="J20" s="777" t="n"/>
      <c r="K20" s="777" t="n"/>
      <c r="L20" s="777" t="n"/>
      <c r="M20" s="777" t="n"/>
      <c r="N20" s="777" t="n"/>
      <c r="O20" s="777" t="n"/>
      <c r="P20" s="772">
        <f>+P17*P18/P19</f>
        <v/>
      </c>
      <c r="R20" s="662" t="inlineStr">
        <is>
          <t>X</t>
        </is>
      </c>
    </row>
    <row r="21">
      <c r="A21" s="216" t="n"/>
      <c r="C21" s="64" t="n"/>
      <c r="D21" s="62" t="n"/>
      <c r="E21" s="62" t="n"/>
      <c r="F21" s="62" t="n"/>
      <c r="G21" s="62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428" t="n"/>
      <c r="R21" s="662" t="inlineStr">
        <is>
          <t>X</t>
        </is>
      </c>
    </row>
    <row r="22" ht="14.55" customHeight="1">
      <c r="A22" s="216" t="n"/>
      <c r="C22" s="290" t="inlineStr">
        <is>
          <t>NPV of Terminal Value</t>
        </is>
      </c>
      <c r="D22" s="291" t="n"/>
      <c r="E22" s="291" t="n"/>
      <c r="F22" s="291" t="n"/>
      <c r="G22" s="291" t="n"/>
      <c r="H22" s="773" t="n"/>
      <c r="I22" s="773" t="n"/>
      <c r="J22" s="773" t="n"/>
      <c r="K22" s="773" t="n"/>
      <c r="L22" s="773" t="n"/>
      <c r="M22" s="773" t="n"/>
      <c r="N22" s="773" t="n"/>
      <c r="O22" s="773" t="n"/>
      <c r="P22" s="774">
        <f>PV(P61,COUNTA(G13:P13),,-P20,0)</f>
        <v/>
      </c>
      <c r="R22" s="662" t="inlineStr">
        <is>
          <t>X</t>
        </is>
      </c>
    </row>
    <row r="23">
      <c r="A23" s="216" t="n"/>
      <c r="C23" s="62" t="n"/>
      <c r="D23" s="62" t="n"/>
      <c r="E23" s="62" t="n"/>
      <c r="F23" s="62" t="n"/>
      <c r="G23" s="62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428" t="n"/>
      <c r="R23" s="662" t="inlineStr">
        <is>
          <t>X</t>
        </is>
      </c>
    </row>
    <row r="24" ht="14.55" customHeight="1">
      <c r="A24" s="216" t="n"/>
      <c r="C24" s="294" t="inlineStr">
        <is>
          <t>Enterprise Value</t>
        </is>
      </c>
      <c r="D24" s="295" t="n"/>
      <c r="E24" s="295" t="n"/>
      <c r="F24" s="295" t="n"/>
      <c r="G24" s="295" t="n"/>
      <c r="H24" s="778" t="n"/>
      <c r="I24" s="778" t="n"/>
      <c r="J24" s="778" t="n"/>
      <c r="K24" s="778" t="n"/>
      <c r="L24" s="778" t="n"/>
      <c r="M24" s="778" t="n"/>
      <c r="N24" s="778" t="n"/>
      <c r="O24" s="778" t="n"/>
      <c r="P24" s="779">
        <f>SUM(P22,P15)</f>
        <v/>
      </c>
      <c r="R24" s="662" t="inlineStr">
        <is>
          <t>Equity bridge, per-share value and implied exit EV/EBITDA: Support rows 88-97. Cross-check only.</t>
        </is>
      </c>
    </row>
    <row r="25" ht="10.05" customHeight="1">
      <c r="A25" s="216" t="n"/>
      <c r="R25" s="662" t="inlineStr">
        <is>
          <t>X</t>
        </is>
      </c>
    </row>
    <row r="26">
      <c r="A26" s="216" t="n"/>
      <c r="R26" s="662" t="inlineStr">
        <is>
          <t>X</t>
        </is>
      </c>
    </row>
    <row r="27" ht="10.05" customHeight="1" thickBot="1">
      <c r="A27" s="216" t="n"/>
      <c r="R27" s="662" t="inlineStr">
        <is>
          <t>X</t>
        </is>
      </c>
    </row>
    <row r="28" ht="14.55" customHeight="1">
      <c r="A28" s="216" t="n"/>
      <c r="C28" s="51">
        <f>Assumptions!$G$5</f>
        <v/>
      </c>
      <c r="D28" s="52" t="n"/>
      <c r="E28" s="52" t="n"/>
      <c r="F28" s="52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429" t="n"/>
      <c r="R28" s="662" t="inlineStr">
        <is>
          <t>X</t>
        </is>
      </c>
    </row>
    <row r="29" ht="14.55" customHeight="1">
      <c r="A29" s="7" t="inlineStr">
        <is>
          <t>X</t>
        </is>
      </c>
      <c r="C29" s="53" t="inlineStr">
        <is>
          <t>Cost of Capital</t>
        </is>
      </c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430" t="n"/>
      <c r="R29" s="662" t="inlineStr">
        <is>
          <t>X</t>
        </is>
      </c>
    </row>
    <row r="30" ht="14.55" customHeight="1" thickBot="1">
      <c r="A30" s="216" t="n"/>
      <c r="C30" s="56">
        <f>Assumptions!$G$9</f>
        <v/>
      </c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780">
        <f>'Financial Model'!J5</f>
        <v/>
      </c>
      <c r="R30" s="662" t="inlineStr">
        <is>
          <t>X</t>
        </is>
      </c>
    </row>
    <row r="31" ht="13.9" customHeight="1" thickBot="1">
      <c r="A31" s="216" t="n"/>
      <c r="C31" s="62" t="n"/>
      <c r="D31" s="62" t="n"/>
      <c r="E31" s="62" t="n"/>
      <c r="F31" s="62" t="n"/>
      <c r="G31" s="62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428" t="n"/>
      <c r="R31" s="662" t="inlineStr">
        <is>
          <t>X</t>
        </is>
      </c>
    </row>
    <row r="32" ht="30" customHeight="1" thickBot="1">
      <c r="A32" s="216" t="n"/>
      <c r="C32" s="58" t="inlineStr">
        <is>
          <t>Cost of Equity</t>
        </is>
      </c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434" t="n"/>
      <c r="R32" s="662" t="inlineStr">
        <is>
          <t>X</t>
        </is>
      </c>
    </row>
    <row r="33" ht="13.9" customHeight="1">
      <c r="A33" s="216" t="n"/>
      <c r="C33" s="60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435" t="n"/>
      <c r="R33" s="662" t="inlineStr">
        <is>
          <t>X</t>
        </is>
      </c>
    </row>
    <row r="34" ht="13.9" customHeight="1">
      <c r="A34" s="216" t="n"/>
      <c r="C34" s="62" t="inlineStr">
        <is>
          <t>Expected Return (Rm)</t>
        </is>
      </c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781">
        <f>P36+0.0423</f>
        <v/>
      </c>
      <c r="R34" s="662" t="inlineStr">
        <is>
          <t>ERP 4.23%: Damodaran implied ERP (Jan 2026 annual update; Sep-2026 monthly print not retrieved)</t>
        </is>
      </c>
    </row>
    <row r="35" ht="13.9" customHeight="1">
      <c r="A35" s="216" t="n"/>
      <c r="C35" s="62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435" t="n"/>
      <c r="R35" s="662" t="inlineStr">
        <is>
          <t>X</t>
        </is>
      </c>
    </row>
    <row r="36" ht="13.9" customHeight="1">
      <c r="A36" s="216" t="n"/>
      <c r="C36" s="62" t="inlineStr">
        <is>
          <t>Risk-Free Rate (Rf)</t>
        </is>
      </c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414" t="n">
        <v>0.0529</v>
      </c>
      <c r="R36" s="662" t="inlineStr">
        <is>
          <t>Rf: 10-yr Treasury CMT 5.29% on 9/30/2026 (FRED DGS10)</t>
        </is>
      </c>
    </row>
    <row r="37" ht="13.9" customHeight="1">
      <c r="A37" s="216" t="n"/>
      <c r="C37" s="62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435" t="n"/>
      <c r="R37" s="662" t="inlineStr">
        <is>
          <t>X</t>
        </is>
      </c>
    </row>
    <row r="38">
      <c r="A38" s="216" t="n"/>
      <c r="C38" s="62" t="inlineStr">
        <is>
          <t>Risk Premium (Rm - Rf)</t>
        </is>
      </c>
      <c r="D38" s="62" t="n"/>
      <c r="E38" s="62" t="n"/>
      <c r="F38" s="62" t="n"/>
      <c r="G38" s="62" t="n"/>
      <c r="H38" s="63" t="n"/>
      <c r="I38" s="63" t="n"/>
      <c r="J38" s="63" t="n"/>
      <c r="K38" s="63" t="n"/>
      <c r="L38" s="63" t="n"/>
      <c r="M38" s="63" t="n"/>
      <c r="N38" s="63" t="n"/>
      <c r="O38" s="63" t="n"/>
      <c r="P38" s="426">
        <f>+P34-P36</f>
        <v/>
      </c>
      <c r="R38" s="662" t="inlineStr">
        <is>
          <t>X</t>
        </is>
      </c>
    </row>
    <row r="39">
      <c r="A39" s="216" t="n"/>
      <c r="C39" s="64" t="inlineStr">
        <is>
          <t>x Beta</t>
        </is>
      </c>
      <c r="D39" s="62" t="n"/>
      <c r="E39" s="62" t="n"/>
      <c r="F39" s="62" t="n"/>
      <c r="G39" s="62" t="n"/>
      <c r="H39" s="782" t="n"/>
      <c r="I39" s="782" t="n"/>
      <c r="J39" s="782" t="n"/>
      <c r="K39" s="782" t="n"/>
      <c r="L39" s="782" t="n"/>
      <c r="M39" s="782" t="n"/>
      <c r="N39" s="782" t="n"/>
      <c r="O39" s="782" t="n"/>
      <c r="P39" s="783" t="n">
        <v>1</v>
      </c>
      <c r="R39" s="662" t="inlineStr">
        <is>
          <t>Beta 1.0 per brief (2-yr weekly vs S&amp;P 500 not re-estimated here - no price history loaded)</t>
        </is>
      </c>
    </row>
    <row r="40">
      <c r="A40" s="216" t="n"/>
      <c r="C40" s="64" t="inlineStr">
        <is>
          <t>+ Risk-Free Rate (Rf)</t>
        </is>
      </c>
      <c r="D40" s="62" t="n"/>
      <c r="E40" s="62" t="n"/>
      <c r="F40" s="62" t="n"/>
      <c r="G40" s="62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425">
        <f>+P36</f>
        <v/>
      </c>
      <c r="R40" s="662" t="inlineStr">
        <is>
          <t>X</t>
        </is>
      </c>
    </row>
    <row r="41" ht="13.9" customHeight="1">
      <c r="A41" s="216" t="n"/>
      <c r="C41" s="67" t="inlineStr">
        <is>
          <t>Cost of Equity (%)</t>
        </is>
      </c>
      <c r="D41" s="67" t="n"/>
      <c r="E41" s="67" t="n"/>
      <c r="F41" s="67" t="n"/>
      <c r="G41" s="67" t="n"/>
      <c r="H41" s="68" t="n"/>
      <c r="I41" s="68" t="n"/>
      <c r="J41" s="68" t="n"/>
      <c r="K41" s="68" t="n"/>
      <c r="L41" s="68" t="n"/>
      <c r="M41" s="68" t="n"/>
      <c r="N41" s="68" t="n"/>
      <c r="O41" s="68" t="n"/>
      <c r="P41" s="436">
        <f>+P38*P39+P40</f>
        <v/>
      </c>
      <c r="R41" s="662" t="inlineStr">
        <is>
          <t>X</t>
        </is>
      </c>
    </row>
    <row r="42" ht="13.9" customHeight="1" thickBot="1">
      <c r="A42" s="216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428" t="n"/>
      <c r="R42" s="662" t="inlineStr">
        <is>
          <t>X</t>
        </is>
      </c>
    </row>
    <row r="43" ht="30" customHeight="1" thickBot="1">
      <c r="A43" s="216" t="n"/>
      <c r="C43" s="58" t="inlineStr">
        <is>
          <t>Cost of Debt</t>
        </is>
      </c>
      <c r="D43" s="59" t="n"/>
      <c r="E43" s="59" t="n"/>
      <c r="F43" s="59" t="n"/>
      <c r="G43" s="59" t="n"/>
      <c r="H43" s="59" t="n"/>
      <c r="I43" s="59" t="n"/>
      <c r="J43" s="59" t="n"/>
      <c r="K43" s="59" t="n"/>
      <c r="L43" s="59" t="n"/>
      <c r="M43" s="59" t="n"/>
      <c r="N43" s="59" t="n"/>
      <c r="O43" s="59" t="n"/>
      <c r="P43" s="434" t="n"/>
      <c r="R43" s="662" t="inlineStr">
        <is>
          <t>X</t>
        </is>
      </c>
    </row>
    <row r="44" ht="13.9" customHeight="1">
      <c r="A44" s="216" t="n"/>
      <c r="C44" s="60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435" t="n"/>
      <c r="R44" s="662" t="inlineStr">
        <is>
          <t>X</t>
        </is>
      </c>
    </row>
    <row r="45">
      <c r="A45" s="216" t="n"/>
      <c r="C45" s="62" t="inlineStr">
        <is>
          <t>Interest Payments</t>
        </is>
      </c>
      <c r="D45" s="62" t="n"/>
      <c r="E45" s="62" t="n"/>
      <c r="F45" s="62" t="n"/>
      <c r="G45" s="62" t="n"/>
      <c r="H45" s="775" t="n"/>
      <c r="I45" s="775" t="n"/>
      <c r="J45" s="775" t="n"/>
      <c r="K45" s="775" t="n"/>
      <c r="L45" s="775" t="n"/>
      <c r="M45" s="775" t="n"/>
      <c r="N45" s="775" t="n"/>
      <c r="O45" s="775" t="n"/>
      <c r="P45" s="776">
        <f>'Financial Model'!$J$34</f>
        <v/>
      </c>
      <c r="R45" s="662" t="inlineStr">
        <is>
          <t>X</t>
        </is>
      </c>
    </row>
    <row r="46">
      <c r="A46" s="216" t="n"/>
      <c r="C46" s="64" t="inlineStr">
        <is>
          <t>/ Total Debt</t>
        </is>
      </c>
      <c r="D46" s="62" t="n"/>
      <c r="E46" s="62" t="n"/>
      <c r="F46" s="62" t="n"/>
      <c r="G46" s="62" t="n"/>
      <c r="H46" s="784" t="n"/>
      <c r="I46" s="784" t="n"/>
      <c r="J46" s="784" t="n"/>
      <c r="K46" s="784" t="n"/>
      <c r="L46" s="784" t="n"/>
      <c r="M46" s="784" t="n"/>
      <c r="N46" s="784" t="n"/>
      <c r="O46" s="784" t="n"/>
      <c r="P46" s="771">
        <f>SUM('Financial Model'!J75:J76)</f>
        <v/>
      </c>
      <c r="R46" s="662" t="inlineStr">
        <is>
          <t>X</t>
        </is>
      </c>
    </row>
    <row r="47" ht="13.9" customHeight="1">
      <c r="A47" s="216" t="n"/>
      <c r="C47" s="67" t="inlineStr">
        <is>
          <t>Average Yield on Debt</t>
        </is>
      </c>
      <c r="D47" s="67" t="n"/>
      <c r="E47" s="67" t="n"/>
      <c r="F47" s="67" t="n"/>
      <c r="G47" s="67" t="n"/>
      <c r="H47" s="68" t="n"/>
      <c r="I47" s="68" t="n"/>
      <c r="J47" s="68" t="n"/>
      <c r="K47" s="68" t="n"/>
      <c r="L47" s="68" t="n"/>
      <c r="M47" s="68" t="n"/>
      <c r="N47" s="68" t="n"/>
      <c r="O47" s="68" t="n"/>
      <c r="P47" s="785" t="n">
        <v>0.0597</v>
      </c>
      <c r="R47" s="662" t="inlineStr">
        <is>
          <t>Cost of debt: ICE BofA US Corporate Index effective yield 5.97% (FRED BAMLC0A0CMEY, 9/29/2026 print)</t>
        </is>
      </c>
    </row>
    <row r="48">
      <c r="A48" s="216" t="n"/>
      <c r="C48" s="62" t="inlineStr">
        <is>
          <t>x (1-Tax Rate)</t>
        </is>
      </c>
      <c r="D48" s="62" t="n"/>
      <c r="E48" s="62" t="n"/>
      <c r="F48" s="62" t="n"/>
      <c r="G48" s="62" t="n"/>
      <c r="H48" s="71" t="n"/>
      <c r="I48" s="71" t="n"/>
      <c r="J48" s="71" t="n"/>
      <c r="K48" s="71" t="n"/>
      <c r="L48" s="71" t="n"/>
      <c r="M48" s="71" t="n"/>
      <c r="N48" s="71" t="n"/>
      <c r="O48" s="71" t="n"/>
      <c r="P48" s="433">
        <f>1-'Financial Model'!$J$39</f>
        <v/>
      </c>
      <c r="R48" s="662" t="inlineStr">
        <is>
          <t>X</t>
        </is>
      </c>
    </row>
    <row r="49" ht="13.9" customHeight="1">
      <c r="A49" s="216" t="n"/>
      <c r="C49" s="67" t="inlineStr">
        <is>
          <t>After Tax Cost of Debt (%)</t>
        </is>
      </c>
      <c r="D49" s="67" t="n"/>
      <c r="E49" s="67" t="n"/>
      <c r="F49" s="67" t="n"/>
      <c r="G49" s="67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437">
        <f>+P47*P48</f>
        <v/>
      </c>
      <c r="R49" s="662" t="inlineStr">
        <is>
          <t>X</t>
        </is>
      </c>
    </row>
    <row r="50" ht="13.9" customHeight="1" thickBot="1">
      <c r="A50" s="216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428" t="n"/>
      <c r="R50" s="662" t="inlineStr">
        <is>
          <t>X</t>
        </is>
      </c>
    </row>
    <row r="51" ht="30" customHeight="1" thickBot="1">
      <c r="A51" s="216" t="n"/>
      <c r="C51" s="73" t="inlineStr">
        <is>
          <t>Weighted Average Cost of Capital (WACC)</t>
        </is>
      </c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74" t="n"/>
      <c r="N51" s="74" t="n"/>
      <c r="O51" s="74" t="n"/>
      <c r="P51" s="438" t="n"/>
      <c r="R51" s="662" t="inlineStr">
        <is>
          <t>X</t>
        </is>
      </c>
    </row>
    <row r="52" ht="13.9" customHeight="1">
      <c r="A52" s="216" t="n"/>
      <c r="C52" s="60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435" t="n"/>
      <c r="R52" s="662" t="inlineStr">
        <is>
          <t>X</t>
        </is>
      </c>
    </row>
    <row r="53">
      <c r="A53" s="216" t="n"/>
      <c r="C53" s="62" t="inlineStr">
        <is>
          <t>Cost of Equity</t>
        </is>
      </c>
      <c r="D53" s="62" t="n"/>
      <c r="E53" s="62" t="n"/>
      <c r="F53" s="62" t="n"/>
      <c r="G53" s="62" t="n"/>
      <c r="H53" s="63" t="n"/>
      <c r="I53" s="63" t="n"/>
      <c r="J53" s="63" t="n"/>
      <c r="K53" s="63" t="n"/>
      <c r="L53" s="63" t="n"/>
      <c r="M53" s="63" t="n"/>
      <c r="N53" s="63" t="n"/>
      <c r="O53" s="63" t="n"/>
      <c r="P53" s="426">
        <f>+P41</f>
        <v/>
      </c>
      <c r="R53" s="662" t="inlineStr">
        <is>
          <t>X</t>
        </is>
      </c>
    </row>
    <row r="54">
      <c r="A54" s="216" t="n"/>
      <c r="C54" s="64" t="inlineStr">
        <is>
          <t>x % of Equity in Capital Structure</t>
        </is>
      </c>
      <c r="D54" s="62" t="n"/>
      <c r="E54" s="62" t="n"/>
      <c r="F54" s="62" t="n"/>
      <c r="G54" s="62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86" t="n">
        <v>0.95</v>
      </c>
      <c r="R54" s="662" t="inlineStr">
        <is>
          <t>Target capital structure 95% equity / 5% debt (brief)</t>
        </is>
      </c>
    </row>
    <row r="55" ht="13.9" customHeight="1">
      <c r="A55" s="216" t="n"/>
      <c r="C55" s="67" t="inlineStr">
        <is>
          <t>Weighted Average Cost of Equity</t>
        </is>
      </c>
      <c r="D55" s="67" t="n"/>
      <c r="E55" s="67" t="n"/>
      <c r="F55" s="67" t="n"/>
      <c r="G55" s="67" t="n"/>
      <c r="H55" s="68" t="n"/>
      <c r="I55" s="68" t="n"/>
      <c r="J55" s="68" t="n"/>
      <c r="K55" s="68" t="n"/>
      <c r="L55" s="68" t="n"/>
      <c r="M55" s="68" t="n"/>
      <c r="N55" s="68" t="n"/>
      <c r="O55" s="68" t="n"/>
      <c r="P55" s="439">
        <f>+P54*P53</f>
        <v/>
      </c>
      <c r="R55" s="662" t="inlineStr">
        <is>
          <t>X</t>
        </is>
      </c>
    </row>
    <row r="56">
      <c r="A56" s="216" t="n"/>
      <c r="C56" s="62" t="n"/>
      <c r="D56" s="62" t="n"/>
      <c r="E56" s="62" t="n"/>
      <c r="F56" s="62" t="n"/>
      <c r="G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428" t="n"/>
      <c r="R56" s="662" t="inlineStr">
        <is>
          <t>X</t>
        </is>
      </c>
    </row>
    <row r="57">
      <c r="A57" s="216" t="n"/>
      <c r="C57" s="62" t="inlineStr">
        <is>
          <t>After Tax Cost of Debt</t>
        </is>
      </c>
      <c r="D57" s="62" t="n"/>
      <c r="E57" s="62" t="n"/>
      <c r="F57" s="62" t="n"/>
      <c r="G57" s="62" t="n"/>
      <c r="H57" s="63" t="n"/>
      <c r="I57" s="63" t="n"/>
      <c r="J57" s="63" t="n"/>
      <c r="K57" s="63" t="n"/>
      <c r="L57" s="63" t="n"/>
      <c r="M57" s="63" t="n"/>
      <c r="N57" s="63" t="n"/>
      <c r="O57" s="63" t="n"/>
      <c r="P57" s="426">
        <f>+P49</f>
        <v/>
      </c>
      <c r="R57" s="662" t="inlineStr">
        <is>
          <t>X</t>
        </is>
      </c>
    </row>
    <row r="58">
      <c r="A58" s="216" t="n"/>
      <c r="C58" s="64" t="inlineStr">
        <is>
          <t>x % of Debt in Capital Structure</t>
        </is>
      </c>
      <c r="D58" s="62" t="n"/>
      <c r="E58" s="62" t="n"/>
      <c r="F58" s="62" t="n"/>
      <c r="G58" s="62" t="n"/>
      <c r="H58" s="63" t="n"/>
      <c r="I58" s="63" t="n"/>
      <c r="J58" s="63" t="n"/>
      <c r="K58" s="63" t="n"/>
      <c r="L58" s="63" t="n"/>
      <c r="M58" s="63" t="n"/>
      <c r="N58" s="63" t="n"/>
      <c r="O58" s="63" t="n"/>
      <c r="P58" s="416">
        <f>1-P54</f>
        <v/>
      </c>
      <c r="R58" s="662" t="inlineStr">
        <is>
          <t>X</t>
        </is>
      </c>
    </row>
    <row r="59" ht="13.9" customHeight="1">
      <c r="A59" s="216" t="n"/>
      <c r="C59" s="67" t="inlineStr">
        <is>
          <t>Weighted Average Cost of Debt</t>
        </is>
      </c>
      <c r="D59" s="67" t="n"/>
      <c r="E59" s="67" t="n"/>
      <c r="F59" s="67" t="n"/>
      <c r="G59" s="67" t="n"/>
      <c r="H59" s="68" t="n"/>
      <c r="I59" s="68" t="n"/>
      <c r="J59" s="68" t="n"/>
      <c r="K59" s="68" t="n"/>
      <c r="L59" s="68" t="n"/>
      <c r="M59" s="68" t="n"/>
      <c r="N59" s="68" t="n"/>
      <c r="O59" s="68" t="n"/>
      <c r="P59" s="436">
        <f>+P58*P57</f>
        <v/>
      </c>
      <c r="R59" s="662" t="inlineStr">
        <is>
          <t>X</t>
        </is>
      </c>
    </row>
    <row r="60">
      <c r="A60" s="216" t="n"/>
      <c r="C60" s="62" t="n"/>
      <c r="D60" s="62" t="n"/>
      <c r="E60" s="62" t="n"/>
      <c r="F60" s="62" t="n"/>
      <c r="G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428" t="n"/>
      <c r="R60" s="662" t="inlineStr">
        <is>
          <t>X</t>
        </is>
      </c>
    </row>
    <row r="61" ht="14.55" customHeight="1">
      <c r="A61" s="216" t="n"/>
      <c r="C61" s="75" t="inlineStr">
        <is>
          <t>Weighted Average Cost of Capital (WACC)</t>
        </is>
      </c>
      <c r="D61" s="76" t="n"/>
      <c r="E61" s="76" t="n"/>
      <c r="F61" s="76" t="n"/>
      <c r="G61" s="76" t="n"/>
      <c r="H61" s="77" t="n"/>
      <c r="I61" s="77" t="n"/>
      <c r="J61" s="77" t="n"/>
      <c r="K61" s="77" t="n"/>
      <c r="L61" s="77" t="n"/>
      <c r="M61" s="77" t="n"/>
      <c r="N61" s="77" t="n"/>
      <c r="O61" s="77" t="n"/>
      <c r="P61" s="440">
        <f>SUM(P59,P55)</f>
        <v/>
      </c>
      <c r="R61" s="662" t="inlineStr">
        <is>
          <t>X</t>
        </is>
      </c>
    </row>
    <row r="62" ht="10.05" customHeight="1">
      <c r="A62" s="216" t="n"/>
      <c r="C62" s="62" t="n"/>
      <c r="D62" s="62" t="n"/>
      <c r="E62" s="62" t="n"/>
      <c r="F62" s="62" t="n"/>
      <c r="G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428" t="n"/>
      <c r="R62" s="662" t="inlineStr">
        <is>
          <t>X</t>
        </is>
      </c>
    </row>
    <row r="63">
      <c r="A63" s="216" t="n"/>
      <c r="C63" s="62" t="n"/>
      <c r="D63" s="62" t="n"/>
      <c r="E63" s="62" t="n"/>
      <c r="F63" s="62" t="n"/>
      <c r="G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428" t="n"/>
      <c r="R63" s="662" t="inlineStr">
        <is>
          <t>X</t>
        </is>
      </c>
    </row>
    <row r="64">
      <c r="A64" s="662" t="inlineStr">
        <is>
          <t>X</t>
        </is>
      </c>
      <c r="B64" s="662" t="inlineStr">
        <is>
          <t>X</t>
        </is>
      </c>
      <c r="C64" s="662" t="inlineStr">
        <is>
          <t>X</t>
        </is>
      </c>
      <c r="D64" s="662" t="inlineStr">
        <is>
          <t>X</t>
        </is>
      </c>
      <c r="E64" s="662" t="inlineStr">
        <is>
          <t>X</t>
        </is>
      </c>
      <c r="F64" s="662" t="inlineStr">
        <is>
          <t>X</t>
        </is>
      </c>
      <c r="G64" s="662" t="inlineStr">
        <is>
          <t>X</t>
        </is>
      </c>
      <c r="H64" s="662" t="inlineStr">
        <is>
          <t>X</t>
        </is>
      </c>
      <c r="I64" s="662" t="n"/>
      <c r="J64" s="662" t="n"/>
      <c r="K64" s="662" t="n"/>
      <c r="L64" s="662" t="n"/>
      <c r="M64" s="662" t="n"/>
      <c r="N64" s="662" t="n"/>
      <c r="O64" s="662" t="n"/>
      <c r="P64" s="787" t="inlineStr">
        <is>
          <t>X</t>
        </is>
      </c>
      <c r="Q64" s="662" t="inlineStr">
        <is>
          <t>X</t>
        </is>
      </c>
      <c r="R64" s="662" t="inlineStr">
        <is>
          <t>X</t>
        </is>
      </c>
    </row>
  </sheetData>
  <pageMargins left="0.7" right="0.7" top="0.75" bottom="0.75" header="0.3" footer="0.3"/>
  <pageSetup orientation="portrait" scale="43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theme="0" tint="-0.0499893185216834"/>
    <outlinePr summaryBelow="1" summaryRight="1"/>
    <pageSetUpPr/>
  </sheetPr>
  <dimension ref="A3:R41"/>
  <sheetViews>
    <sheetView showGridLines="0" view="pageBreakPreview" zoomScale="70" zoomScaleNormal="100" zoomScaleSheetLayoutView="70" workbookViewId="0">
      <selection activeCell="A1" sqref="A1"/>
    </sheetView>
  </sheetViews>
  <sheetFormatPr baseColWidth="8" defaultColWidth="0" defaultRowHeight="13.5" zeroHeight="1"/>
  <cols>
    <col width="1.59765625" customWidth="1" style="17" min="1" max="2"/>
    <col width="19.73046875" customWidth="1" style="17" min="3" max="5"/>
    <col width="15.73046875" customWidth="1" style="17" min="6" max="10"/>
    <col outlineLevel="1" width="15.73046875" customWidth="1" style="17" min="11" max="11"/>
    <col width="15.73046875" customWidth="1" style="17" min="12" max="16"/>
    <col width="1.59765625" customWidth="1" style="17" min="17" max="18"/>
    <col hidden="1" width="9.19921875" customWidth="1" style="17" min="19" max="16384"/>
  </cols>
  <sheetData>
    <row r="2" ht="10.05" customHeight="1"/>
    <row r="3" ht="18.75" customHeight="1">
      <c r="C3" s="16">
        <f>Assumptions!$G$5</f>
        <v/>
      </c>
    </row>
    <row r="4" ht="16.5" customHeight="1">
      <c r="C4" s="18" t="inlineStr">
        <is>
          <t>Relative Valuation as of September 30, 2026 (memo date)</t>
        </is>
      </c>
    </row>
    <row r="5">
      <c r="C5" s="19">
        <f>Assumptions!$G$9</f>
        <v/>
      </c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</row>
    <row r="6">
      <c r="C6" s="21" t="n"/>
    </row>
    <row r="7" ht="17.65" customHeight="1">
      <c r="A7" s="463" t="inlineStr">
        <is>
          <t>X</t>
        </is>
      </c>
      <c r="C7" s="613" t="inlineStr">
        <is>
          <t>Public Comparables</t>
        </is>
      </c>
      <c r="D7" s="613" t="inlineStr">
        <is>
          <t>Industry</t>
        </is>
      </c>
      <c r="E7" s="613" t="inlineStr">
        <is>
          <t>Country</t>
        </is>
      </c>
      <c r="F7" s="206" t="inlineStr">
        <is>
          <t>Valuation</t>
        </is>
      </c>
      <c r="G7" s="206" t="n"/>
      <c r="H7" s="206" t="inlineStr">
        <is>
          <t>Financials ($MM's)</t>
        </is>
      </c>
      <c r="I7" s="206" t="n"/>
      <c r="J7" s="206" t="n"/>
      <c r="K7" s="206" t="inlineStr">
        <is>
          <t>Growth / Profitability (%)</t>
        </is>
      </c>
      <c r="L7" s="206" t="n"/>
      <c r="M7" s="206" t="n"/>
      <c r="N7" s="206" t="inlineStr">
        <is>
          <t>Valuation Multiples (x)</t>
        </is>
      </c>
      <c r="O7" s="206" t="n"/>
      <c r="P7" s="206" t="n"/>
    </row>
    <row r="8" ht="17.65" customHeight="1">
      <c r="F8" s="464" t="inlineStr">
        <is>
          <t>EV</t>
        </is>
      </c>
      <c r="G8" s="464" t="inlineStr">
        <is>
          <t>Equity Value</t>
        </is>
      </c>
      <c r="H8" s="464" t="inlineStr">
        <is>
          <t>Revenue</t>
        </is>
      </c>
      <c r="I8" s="464" t="inlineStr">
        <is>
          <t>EBITDA</t>
        </is>
      </c>
      <c r="J8" s="464" t="inlineStr">
        <is>
          <t>Net Income</t>
        </is>
      </c>
      <c r="K8" s="464" t="inlineStr">
        <is>
          <t>Y/Y Growth</t>
        </is>
      </c>
      <c r="L8" s="464" t="inlineStr">
        <is>
          <t>EBITDA Margin</t>
        </is>
      </c>
      <c r="M8" s="464" t="inlineStr">
        <is>
          <t>Profit Margin</t>
        </is>
      </c>
      <c r="N8" s="464" t="inlineStr">
        <is>
          <t>EV / Revenue</t>
        </is>
      </c>
      <c r="O8" s="464" t="inlineStr">
        <is>
          <t>EV / EBITDA</t>
        </is>
      </c>
      <c r="P8" s="464" t="inlineStr">
        <is>
          <t>P/E</t>
        </is>
      </c>
      <c r="Q8" t="inlineStr">
        <is>
          <t>Fwd P/E (memo)</t>
        </is>
      </c>
      <c r="R8" t="inlineStr">
        <is>
          <t>Source</t>
        </is>
      </c>
    </row>
    <row r="9">
      <c r="C9" s="788" t="inlineStr">
        <is>
          <t>RB Global (RBA; owns IAA)</t>
        </is>
      </c>
      <c r="D9" s="789" t="inlineStr">
        <is>
          <t>Marketplaces / salvage auctions</t>
        </is>
      </c>
      <c r="E9" s="789" t="inlineStr">
        <is>
          <t>Canada/US</t>
        </is>
      </c>
      <c r="F9" s="790" t="n"/>
      <c r="G9" s="790" t="n"/>
      <c r="H9" s="790" t="n"/>
      <c r="I9" s="790" t="n"/>
      <c r="J9" s="790" t="n"/>
      <c r="K9" s="23" t="n"/>
      <c r="L9" s="23">
        <f>IFERROR(I9/$H9,"n/m")</f>
        <v/>
      </c>
      <c r="M9" s="790">
        <f>IFERROR(J9/$H9,"n/m")</f>
        <v/>
      </c>
      <c r="N9" s="791">
        <f>IFERROR($F9/H9,"n/m")</f>
        <v/>
      </c>
      <c r="O9" s="791">
        <f>IFERROR($F9/I9,"n/m")</f>
        <v/>
      </c>
      <c r="P9" s="791">
        <f>IFERROR($G9/J9,"n/m")</f>
        <v/>
      </c>
      <c r="Q9" s="792" t="n">
        <v>16.8</v>
      </c>
      <c r="R9" t="inlineStr">
        <is>
          <t>Memo: 16.8x forward P/E (Yahoo consensus, 9/30/2026)</t>
        </is>
      </c>
    </row>
    <row r="10">
      <c r="C10" s="793" t="inlineStr">
        <is>
          <t>OPENLANE (KAR)</t>
        </is>
      </c>
      <c r="D10" s="793" t="inlineStr">
        <is>
          <t>Dealer wholesale auctions</t>
        </is>
      </c>
      <c r="E10" s="793" t="inlineStr">
        <is>
          <t>US</t>
        </is>
      </c>
      <c r="F10" s="794" t="n"/>
      <c r="G10" s="794" t="n"/>
      <c r="H10" s="794" t="n"/>
      <c r="I10" s="794" t="n"/>
      <c r="J10" s="794" t="n"/>
      <c r="K10" s="24" t="n"/>
      <c r="L10" s="26">
        <f>IFERROR(I10/$H10,"n/m")</f>
        <v/>
      </c>
      <c r="M10" s="795">
        <f>IFERROR(J10/$H10,"n/m")</f>
        <v/>
      </c>
      <c r="N10" s="796">
        <f>IFERROR($F10/H10,"n/m")</f>
        <v/>
      </c>
      <c r="O10" s="796">
        <f>IFERROR($F10/I10,"n/m")</f>
        <v/>
      </c>
      <c r="P10" s="796">
        <f>IFERROR($G10/J10,"n/m")</f>
        <v/>
      </c>
      <c r="R10" t="inlineStr">
        <is>
          <t>Not sourced as of 9/30/2026 - left blank</t>
        </is>
      </c>
    </row>
    <row r="11">
      <c r="C11" s="793" t="inlineStr">
        <is>
          <t>LKQ (floor reference only; excluded from median)</t>
        </is>
      </c>
      <c r="D11" s="793" t="inlineStr">
        <is>
          <t>Salvage-parts buyer</t>
        </is>
      </c>
      <c r="E11" s="793" t="inlineStr">
        <is>
          <t>US</t>
        </is>
      </c>
      <c r="F11" s="794" t="n"/>
      <c r="G11" s="794" t="n"/>
      <c r="H11" s="794" t="n"/>
      <c r="I11" s="794" t="n"/>
      <c r="J11" s="794" t="n"/>
      <c r="K11" s="24" t="n"/>
      <c r="L11" s="26">
        <f>IFERROR(I11/$H11,"n/m")</f>
        <v/>
      </c>
      <c r="M11" s="795">
        <f>IFERROR(J11/$H11,"n/m")</f>
        <v/>
      </c>
      <c r="N11" s="796">
        <f>IFERROR($F11/H11,"n/m")</f>
        <v/>
      </c>
      <c r="O11" s="796">
        <f>IFERROR($F11/I11,"n/m")</f>
        <v/>
      </c>
      <c r="P11" s="796">
        <f>IFERROR($G11/J11,"n/m")</f>
        <v/>
      </c>
      <c r="Q11" s="792" t="n">
        <v>7.4</v>
      </c>
      <c r="R11" t="inlineStr">
        <is>
          <t>Memo: 7.4x forward P/E (Yahoo consensus, 9/30/2026)</t>
        </is>
      </c>
    </row>
    <row r="12">
      <c r="C12" s="797" t="inlineStr">
        <is>
          <t>Copart (subject; from model, FY26A)</t>
        </is>
      </c>
      <c r="D12" s="24" t="inlineStr">
        <is>
          <t>Salvage auctions</t>
        </is>
      </c>
      <c r="E12" s="24" t="inlineStr">
        <is>
          <t>US</t>
        </is>
      </c>
      <c r="F12" s="798">
        <f>Support!$D$9</f>
        <v/>
      </c>
      <c r="G12" s="798">
        <f>Support!$D$5</f>
        <v/>
      </c>
      <c r="H12" s="798">
        <f>'Financial Model'!J9</f>
        <v/>
      </c>
      <c r="I12" s="798">
        <f>'Financial Model'!J27</f>
        <v/>
      </c>
      <c r="J12" s="798">
        <f>'Financial Model'!J41</f>
        <v/>
      </c>
      <c r="K12" s="799">
        <f>'Financial Model'!J10</f>
        <v/>
      </c>
      <c r="L12" s="26">
        <f>IFERROR(I12/$H12,"n/m")</f>
        <v/>
      </c>
      <c r="M12" s="795">
        <f>IFERROR(J12/$H12,"n/m")</f>
        <v/>
      </c>
      <c r="N12" s="796">
        <f>IFERROR($F12/H12,"n/m")</f>
        <v/>
      </c>
      <c r="O12" s="796">
        <f>IFERROR($F12/I12,"n/m")</f>
        <v/>
      </c>
      <c r="P12" s="796">
        <f>IFERROR($G12/J12,"n/m")</f>
        <v/>
      </c>
      <c r="Q12" s="800">
        <f>Support!$D$101</f>
        <v/>
      </c>
      <c r="R12" t="inlineStr">
        <is>
          <t>P/E on $27.36 / FY26 EPS (memo 17.6x); EV/EBITDA 11.0x vs memo 11.1x</t>
        </is>
      </c>
    </row>
    <row r="13">
      <c r="C13" s="24" t="n"/>
      <c r="D13" s="24" t="n"/>
      <c r="E13" s="24" t="n"/>
      <c r="F13" s="794" t="n"/>
      <c r="G13" s="794" t="n"/>
      <c r="H13" s="794" t="n"/>
      <c r="I13" s="794" t="n"/>
      <c r="J13" s="794" t="n"/>
      <c r="K13" s="24" t="n"/>
      <c r="L13" s="26">
        <f>IFERROR(I13/$H13,"n/m")</f>
        <v/>
      </c>
      <c r="M13" s="795">
        <f>IFERROR(J13/$H13,"n/m")</f>
        <v/>
      </c>
      <c r="N13" s="796">
        <f>IFERROR($F13/H13,"n/m")</f>
        <v/>
      </c>
      <c r="O13" s="796">
        <f>IFERROR($F13/I13,"n/m")</f>
        <v/>
      </c>
      <c r="P13" s="796">
        <f>IFERROR($G13/J13,"n/m")</f>
        <v/>
      </c>
    </row>
    <row r="14">
      <c r="C14" s="24" t="n"/>
      <c r="D14" s="24" t="n"/>
      <c r="E14" s="24" t="n"/>
      <c r="F14" s="794" t="n"/>
      <c r="G14" s="794" t="n"/>
      <c r="H14" s="794" t="n"/>
      <c r="I14" s="794" t="n"/>
      <c r="J14" s="794" t="n"/>
      <c r="K14" s="24" t="n"/>
      <c r="L14" s="26">
        <f>IFERROR(I14/$H14,"n/m")</f>
        <v/>
      </c>
      <c r="M14" s="795">
        <f>IFERROR(J14/$H14,"n/m")</f>
        <v/>
      </c>
      <c r="N14" s="796">
        <f>IFERROR($F14/H14,"n/m")</f>
        <v/>
      </c>
      <c r="O14" s="796">
        <f>IFERROR($F14/I14,"n/m")</f>
        <v/>
      </c>
      <c r="P14" s="796">
        <f>IFERROR($G14/J14,"n/m")</f>
        <v/>
      </c>
    </row>
    <row r="15">
      <c r="C15" s="24" t="n"/>
      <c r="D15" s="24" t="n"/>
      <c r="E15" s="24" t="n"/>
      <c r="F15" s="794" t="n"/>
      <c r="G15" s="794" t="n"/>
      <c r="H15" s="794" t="n"/>
      <c r="I15" s="794" t="n"/>
      <c r="J15" s="794" t="n"/>
      <c r="K15" s="24" t="n"/>
      <c r="L15" s="26">
        <f>IFERROR(I15/$H15,"n/m")</f>
        <v/>
      </c>
      <c r="M15" s="795">
        <f>IFERROR(J15/$H15,"n/m")</f>
        <v/>
      </c>
      <c r="N15" s="796">
        <f>IFERROR($F15/H15,"n/m")</f>
        <v/>
      </c>
      <c r="O15" s="796">
        <f>IFERROR($F15/I15,"n/m")</f>
        <v/>
      </c>
      <c r="P15" s="796">
        <f>IFERROR($G15/J15,"n/m")</f>
        <v/>
      </c>
    </row>
    <row r="16">
      <c r="C16" s="24" t="n"/>
      <c r="D16" s="24" t="n"/>
      <c r="E16" s="24" t="n"/>
      <c r="F16" s="794" t="n"/>
      <c r="G16" s="794" t="n"/>
      <c r="H16" s="794" t="n"/>
      <c r="I16" s="794" t="n"/>
      <c r="J16" s="794" t="n"/>
      <c r="K16" s="24" t="n"/>
      <c r="L16" s="26">
        <f>IFERROR(I16/$H16,"n/m")</f>
        <v/>
      </c>
      <c r="M16" s="795">
        <f>IFERROR(J16/$H16,"n/m")</f>
        <v/>
      </c>
      <c r="N16" s="796">
        <f>IFERROR($F16/H16,"n/m")</f>
        <v/>
      </c>
      <c r="O16" s="796">
        <f>IFERROR($F16/I16,"n/m")</f>
        <v/>
      </c>
      <c r="P16" s="796">
        <f>IFERROR($G16/J16,"n/m")</f>
        <v/>
      </c>
    </row>
    <row r="17">
      <c r="C17" s="24" t="n"/>
      <c r="D17" s="24" t="n"/>
      <c r="E17" s="24" t="n"/>
      <c r="F17" s="794" t="n"/>
      <c r="G17" s="794" t="n"/>
      <c r="H17" s="794" t="n"/>
      <c r="I17" s="794" t="n"/>
      <c r="J17" s="794" t="n"/>
      <c r="K17" s="24" t="n"/>
      <c r="L17" s="26">
        <f>IFERROR(I17/$H17,"n/m")</f>
        <v/>
      </c>
      <c r="M17" s="795">
        <f>IFERROR(J17/$H17,"n/m")</f>
        <v/>
      </c>
      <c r="N17" s="796">
        <f>IFERROR($F17/H17,"n/m")</f>
        <v/>
      </c>
      <c r="O17" s="796">
        <f>IFERROR($F17/I17,"n/m")</f>
        <v/>
      </c>
      <c r="P17" s="796">
        <f>IFERROR($G17/J17,"n/m")</f>
        <v/>
      </c>
    </row>
    <row r="19" ht="13.9" customHeight="1">
      <c r="C19" s="27" t="inlineStr">
        <is>
          <t>Minimum</t>
        </is>
      </c>
      <c r="D19" s="28" t="n"/>
      <c r="E19" s="28" t="n"/>
      <c r="F19" s="801">
        <f>IFERROR(MIN(F9:F17),"n/m")</f>
        <v/>
      </c>
      <c r="G19" s="801">
        <f>IFERROR(MIN(G9:G17),"n/m")</f>
        <v/>
      </c>
      <c r="H19" s="801">
        <f>IFERROR(MIN(H9:H17),"n/m")</f>
        <v/>
      </c>
      <c r="I19" s="801">
        <f>IFERROR(MIN(I9:I17),"n/m")</f>
        <v/>
      </c>
      <c r="J19" s="801">
        <f>IFERROR(MIN(J9:J17),"n/m")</f>
        <v/>
      </c>
      <c r="K19" s="30">
        <f>IFERROR(MIN(K9:K17),"n/m")</f>
        <v/>
      </c>
      <c r="L19" s="30">
        <f>IFERROR(MIN(L9:L17),"n/m")</f>
        <v/>
      </c>
      <c r="M19" s="30">
        <f>IFERROR(MIN(M9:M17),"n/m")</f>
        <v/>
      </c>
      <c r="N19" s="802">
        <f>IFERROR(MIN(N9:N17),"n/m")</f>
        <v/>
      </c>
      <c r="O19" s="802">
        <f>IFERROR(MIN(O9:O17),"n/m")</f>
        <v/>
      </c>
      <c r="P19" s="803">
        <f>IFERROR(MIN(P9:P17),"n/m")</f>
        <v/>
      </c>
    </row>
    <row r="20" ht="13.9" customHeight="1">
      <c r="C20" s="33" t="inlineStr">
        <is>
          <t>Median</t>
        </is>
      </c>
      <c r="D20" s="34" t="n"/>
      <c r="E20" s="34" t="n"/>
      <c r="F20" s="804">
        <f>IFERROR(MEDIAN(F9:F17),"n/m")</f>
        <v/>
      </c>
      <c r="G20" s="804">
        <f>IFERROR(MEDIAN(G9:G17),"n/m")</f>
        <v/>
      </c>
      <c r="H20" s="804">
        <f>IFERROR(MEDIAN(H9:H17),"n/m")</f>
        <v/>
      </c>
      <c r="I20" s="804">
        <f>IFERROR(MEDIAN(I9:I17),"n/m")</f>
        <v/>
      </c>
      <c r="J20" s="804">
        <f>IFERROR(MEDIAN(J9:J17),"n/m")</f>
        <v/>
      </c>
      <c r="K20" s="36">
        <f>IFERROR(MEDIAN(K9:K17),"n/m")</f>
        <v/>
      </c>
      <c r="L20" s="36">
        <f>IFERROR(MEDIAN(L9:L17),"n/m")</f>
        <v/>
      </c>
      <c r="M20" s="36">
        <f>IFERROR(MEDIAN(M9:M17),"n/m")</f>
        <v/>
      </c>
      <c r="N20" s="805">
        <f>IFERROR(MEDIAN(N9:N17),"n/m")</f>
        <v/>
      </c>
      <c r="O20" s="805">
        <f>IFERROR(MEDIAN(O9:O17),"n/m")</f>
        <v/>
      </c>
      <c r="P20" s="806">
        <f>IFERROR(MEDIAN(P9:P17),"n/m")</f>
        <v/>
      </c>
      <c r="Q20" s="807">
        <f>MEDIAN(Q9:Q10)</f>
        <v/>
      </c>
      <c r="R20" t="inlineStr">
        <is>
          <t>Median used as target reference = RBA (OPENLANE blank); LKQ and Copart excluded. Stats in F:P reflect Copart row only.</t>
        </is>
      </c>
    </row>
    <row r="21" ht="13.9" customHeight="1">
      <c r="C21" s="33" t="inlineStr">
        <is>
          <t>Mean</t>
        </is>
      </c>
      <c r="D21" s="34" t="n"/>
      <c r="E21" s="34" t="n"/>
      <c r="F21" s="804">
        <f>IFERROR(AVERAGE(F9:F17),"n/m")</f>
        <v/>
      </c>
      <c r="G21" s="804">
        <f>IFERROR(AVERAGE(G9:G17),"n/m")</f>
        <v/>
      </c>
      <c r="H21" s="804">
        <f>IFERROR(AVERAGE(H9:H17),"n/m")</f>
        <v/>
      </c>
      <c r="I21" s="804">
        <f>IFERROR(AVERAGE(I9:I17),"n/m")</f>
        <v/>
      </c>
      <c r="J21" s="804">
        <f>IFERROR(AVERAGE(J9:J17),"n/m")</f>
        <v/>
      </c>
      <c r="K21" s="36">
        <f>IFERROR(AVERAGE(K9:K17),"n/m")</f>
        <v/>
      </c>
      <c r="L21" s="36">
        <f>IFERROR(AVERAGE(L9:L17),"n/m")</f>
        <v/>
      </c>
      <c r="M21" s="36">
        <f>IFERROR(AVERAGE(M9:M17),"n/m")</f>
        <v/>
      </c>
      <c r="N21" s="805">
        <f>IFERROR(AVERAGE(N9:N17),"n/m")</f>
        <v/>
      </c>
      <c r="O21" s="805">
        <f>IFERROR(AVERAGE(O9:O17),"n/m")</f>
        <v/>
      </c>
      <c r="P21" s="806">
        <f>IFERROR(AVERAGE(P9:P17),"n/m")</f>
        <v/>
      </c>
    </row>
    <row r="22" ht="13.9" customHeight="1">
      <c r="C22" s="39" t="inlineStr">
        <is>
          <t>Max</t>
        </is>
      </c>
      <c r="D22" s="40" t="n"/>
      <c r="E22" s="40" t="n"/>
      <c r="F22" s="808">
        <f>IFERROR(MAX(F12:F17),"n/m")</f>
        <v/>
      </c>
      <c r="G22" s="808">
        <f>IFERROR(MAX(G12:G17),"n/m")</f>
        <v/>
      </c>
      <c r="H22" s="808">
        <f>IFERROR(MAX(H12:H17),"n/m")</f>
        <v/>
      </c>
      <c r="I22" s="808">
        <f>IFERROR(MAX(I12:I17),"n/m")</f>
        <v/>
      </c>
      <c r="J22" s="808">
        <f>IFERROR(MAX(J12:J17),"n/m")</f>
        <v/>
      </c>
      <c r="K22" s="42">
        <f>IFERROR(MAX(K12:K17),"n/m")</f>
        <v/>
      </c>
      <c r="L22" s="42">
        <f>IFERROR(MAX(L12:L17),"n/m")</f>
        <v/>
      </c>
      <c r="M22" s="42">
        <f>IFERROR(MAX(M12:M17),"n/m")</f>
        <v/>
      </c>
      <c r="N22" s="809">
        <f>IFERROR(MAX(N12:N17),"n/m")</f>
        <v/>
      </c>
      <c r="O22" s="809">
        <f>IFERROR(MAX(O12:O17),"n/m")</f>
        <v/>
      </c>
      <c r="P22" s="810">
        <f>IFERROR(MAX(P12:P17),"n/m")</f>
        <v/>
      </c>
    </row>
    <row r="25">
      <c r="C25" s="21" t="n"/>
    </row>
    <row r="26" ht="17.55" customHeight="1">
      <c r="A26" s="463" t="inlineStr">
        <is>
          <t>X</t>
        </is>
      </c>
      <c r="C26" s="613" t="inlineStr">
        <is>
          <t>Precedent Transactions</t>
        </is>
      </c>
      <c r="D26" s="614" t="inlineStr">
        <is>
          <t>Acquirer</t>
        </is>
      </c>
      <c r="E26" s="614" t="inlineStr">
        <is>
          <t>Close Date</t>
        </is>
      </c>
      <c r="F26" s="206" t="inlineStr">
        <is>
          <t>Valuation</t>
        </is>
      </c>
      <c r="G26" s="206" t="n"/>
      <c r="H26" s="206" t="inlineStr">
        <is>
          <t>Financials ($MM's)</t>
        </is>
      </c>
      <c r="I26" s="206" t="n"/>
      <c r="J26" s="206" t="n"/>
      <c r="K26" s="206" t="inlineStr">
        <is>
          <t>Growth / Profitability (%)</t>
        </is>
      </c>
      <c r="L26" s="206" t="n"/>
      <c r="M26" s="206" t="n"/>
      <c r="N26" s="206" t="inlineStr">
        <is>
          <t>Valuation Multiples (x)</t>
        </is>
      </c>
      <c r="O26" s="206" t="n"/>
      <c r="P26" s="206" t="n"/>
    </row>
    <row r="27" ht="17.55" customHeight="1">
      <c r="F27" s="464" t="inlineStr">
        <is>
          <t>EV</t>
        </is>
      </c>
      <c r="G27" s="464" t="inlineStr">
        <is>
          <t>Equity Value</t>
        </is>
      </c>
      <c r="H27" s="464" t="inlineStr">
        <is>
          <t>Revenue</t>
        </is>
      </c>
      <c r="I27" s="464" t="inlineStr">
        <is>
          <t>EBITDA</t>
        </is>
      </c>
      <c r="J27" s="464" t="inlineStr">
        <is>
          <t>Net Income</t>
        </is>
      </c>
      <c r="K27" s="464" t="inlineStr">
        <is>
          <t>Y/Y Growth</t>
        </is>
      </c>
      <c r="L27" s="464" t="inlineStr">
        <is>
          <t>EBITDA Margin</t>
        </is>
      </c>
      <c r="M27" s="464" t="inlineStr">
        <is>
          <t>Profit Margin</t>
        </is>
      </c>
      <c r="N27" s="464" t="inlineStr">
        <is>
          <t>EV / Revenue</t>
        </is>
      </c>
      <c r="O27" s="464" t="inlineStr">
        <is>
          <t>EV / EBITDA</t>
        </is>
      </c>
      <c r="P27" s="464" t="inlineStr">
        <is>
          <t>P/E</t>
        </is>
      </c>
    </row>
    <row r="28">
      <c r="C28" s="788" t="inlineStr">
        <is>
          <t>IAA, Inc.</t>
        </is>
      </c>
      <c r="D28" s="789" t="inlineStr">
        <is>
          <t>Ritchie Bros. (RB Global)</t>
        </is>
      </c>
      <c r="E28" s="789" t="inlineStr">
        <is>
          <t>Mar 2023 (announced 11/7/2022)</t>
        </is>
      </c>
      <c r="F28" s="811" t="n">
        <v>7300</v>
      </c>
      <c r="G28" s="790" t="inlineStr">
        <is>
          <t>n/m</t>
        </is>
      </c>
      <c r="H28" s="790" t="n"/>
      <c r="I28" s="811">
        <f>F28/13.6</f>
        <v/>
      </c>
      <c r="J28" s="790" t="inlineStr">
        <is>
          <t>n/m</t>
        </is>
      </c>
      <c r="K28" s="790" t="inlineStr">
        <is>
          <t>n/m</t>
        </is>
      </c>
      <c r="L28" s="23">
        <f>IFERROR(I28/$H28,"n/m")</f>
        <v/>
      </c>
      <c r="M28" s="790">
        <f>IFERROR(J28/$H28,"n/m")</f>
        <v/>
      </c>
      <c r="N28" s="791">
        <f>IFERROR($F28/H28,"n/m")</f>
        <v/>
      </c>
      <c r="O28" s="791">
        <f>IFERROR($F28/I28,"n/m")</f>
        <v/>
      </c>
      <c r="P28" s="790" t="inlineStr">
        <is>
          <t>n/m</t>
        </is>
      </c>
      <c r="R28" t="inlineStr">
        <is>
          <t>RBA 8-K 11/7/2022: ~$7.3B incl. $1.0B net debt; 13.6x LTM Adj. EBITDA. Revenue not loaded. https://www.sec.gov/Archives/edgar/data/1046102/000110465922115108/tm2229848d1_ex99-1.htm</t>
        </is>
      </c>
    </row>
    <row r="29">
      <c r="C29" s="793" t="inlineStr">
        <is>
          <t>ACV Auctions</t>
        </is>
      </c>
      <c r="D29" s="793" t="inlineStr">
        <is>
          <t>Copart</t>
        </is>
      </c>
      <c r="E29" s="793" t="inlineStr">
        <is>
          <t>Pending (by CY-end 2026)</t>
        </is>
      </c>
      <c r="F29" s="794" t="n"/>
      <c r="G29" s="812" t="n">
        <v>1900</v>
      </c>
      <c r="H29" s="794" t="n"/>
      <c r="I29" s="794" t="n"/>
      <c r="J29" s="795" t="inlineStr">
        <is>
          <t>n/m</t>
        </is>
      </c>
      <c r="K29" s="795" t="inlineStr">
        <is>
          <t>n/m</t>
        </is>
      </c>
      <c r="L29" s="26">
        <f>IFERROR(I29/$H29,"n/m")</f>
        <v/>
      </c>
      <c r="M29" s="795">
        <f>IFERROR(J29/$H29,"n/m")</f>
        <v/>
      </c>
      <c r="N29" s="796">
        <f>IFERROR($F29/H29,"n/m")</f>
        <v/>
      </c>
      <c r="O29" s="796">
        <f>IFERROR($F29/I29,"n/m")</f>
        <v/>
      </c>
      <c r="P29" s="795" t="inlineStr">
        <is>
          <t>n/m</t>
        </is>
      </c>
      <c r="R29" t="inlineStr">
        <is>
          <t>8-K 9/10/2026: $10.50/sh cash, ~$1.9B equity value. EV and profit measure not disclosed - multiples left blank.</t>
        </is>
      </c>
    </row>
    <row r="30">
      <c r="C30" s="24" t="n"/>
      <c r="D30" s="24" t="n"/>
      <c r="E30" s="24" t="n"/>
      <c r="F30" s="794" t="n"/>
      <c r="G30" s="795" t="inlineStr">
        <is>
          <t>n/m</t>
        </is>
      </c>
      <c r="H30" s="794" t="n"/>
      <c r="I30" s="794" t="n"/>
      <c r="J30" s="795" t="inlineStr">
        <is>
          <t>n/m</t>
        </is>
      </c>
      <c r="K30" s="795" t="inlineStr">
        <is>
          <t>n/m</t>
        </is>
      </c>
      <c r="L30" s="26">
        <f>IFERROR(I30/$H30,"n/m")</f>
        <v/>
      </c>
      <c r="M30" s="795">
        <f>IFERROR(J30/$H30,"n/m")</f>
        <v/>
      </c>
      <c r="N30" s="796">
        <f>IFERROR($F30/H30,"n/m")</f>
        <v/>
      </c>
      <c r="O30" s="796">
        <f>IFERROR($F30/I30,"n/m")</f>
        <v/>
      </c>
      <c r="P30" s="795" t="inlineStr">
        <is>
          <t>n/m</t>
        </is>
      </c>
    </row>
    <row r="31">
      <c r="C31" s="24" t="n"/>
      <c r="D31" s="24" t="n"/>
      <c r="E31" s="24" t="n"/>
      <c r="F31" s="794" t="n"/>
      <c r="G31" s="795" t="inlineStr">
        <is>
          <t>n/m</t>
        </is>
      </c>
      <c r="H31" s="794" t="n"/>
      <c r="I31" s="794" t="n"/>
      <c r="J31" s="795" t="inlineStr">
        <is>
          <t>n/m</t>
        </is>
      </c>
      <c r="K31" s="795" t="inlineStr">
        <is>
          <t>n/m</t>
        </is>
      </c>
      <c r="L31" s="26">
        <f>IFERROR(I31/$H31,"n/m")</f>
        <v/>
      </c>
      <c r="M31" s="795">
        <f>IFERROR(J31/$H31,"n/m")</f>
        <v/>
      </c>
      <c r="N31" s="796">
        <f>IFERROR($F31/H31,"n/m")</f>
        <v/>
      </c>
      <c r="O31" s="796">
        <f>IFERROR($F31/I31,"n/m")</f>
        <v/>
      </c>
      <c r="P31" s="795" t="inlineStr">
        <is>
          <t>n/m</t>
        </is>
      </c>
    </row>
    <row r="32">
      <c r="C32" s="24" t="n"/>
      <c r="D32" s="24" t="n"/>
      <c r="E32" s="24" t="n"/>
      <c r="F32" s="794" t="n"/>
      <c r="G32" s="795" t="inlineStr">
        <is>
          <t>n/m</t>
        </is>
      </c>
      <c r="H32" s="794" t="n"/>
      <c r="I32" s="794" t="n"/>
      <c r="J32" s="795" t="inlineStr">
        <is>
          <t>n/m</t>
        </is>
      </c>
      <c r="K32" s="795" t="inlineStr">
        <is>
          <t>n/m</t>
        </is>
      </c>
      <c r="L32" s="26">
        <f>IFERROR(I32/$H32,"n/m")</f>
        <v/>
      </c>
      <c r="M32" s="795">
        <f>IFERROR(J32/$H32,"n/m")</f>
        <v/>
      </c>
      <c r="N32" s="796">
        <f>IFERROR($F32/H32,"n/m")</f>
        <v/>
      </c>
      <c r="O32" s="796">
        <f>IFERROR($F32/I32,"n/m")</f>
        <v/>
      </c>
      <c r="P32" s="795" t="inlineStr">
        <is>
          <t>n/m</t>
        </is>
      </c>
    </row>
    <row r="33">
      <c r="C33" s="24" t="n"/>
      <c r="D33" s="24" t="n"/>
      <c r="E33" s="24" t="n"/>
      <c r="F33" s="794" t="n"/>
      <c r="G33" s="795" t="inlineStr">
        <is>
          <t>n/m</t>
        </is>
      </c>
      <c r="H33" s="794" t="n"/>
      <c r="I33" s="794" t="n"/>
      <c r="J33" s="795" t="inlineStr">
        <is>
          <t>n/m</t>
        </is>
      </c>
      <c r="K33" s="795" t="inlineStr">
        <is>
          <t>n/m</t>
        </is>
      </c>
      <c r="L33" s="26">
        <f>IFERROR(I33/$H33,"n/m")</f>
        <v/>
      </c>
      <c r="M33" s="795">
        <f>IFERROR(J33/$H33,"n/m")</f>
        <v/>
      </c>
      <c r="N33" s="796">
        <f>IFERROR($F33/H33,"n/m")</f>
        <v/>
      </c>
      <c r="O33" s="796">
        <f>IFERROR($F33/I33,"n/m")</f>
        <v/>
      </c>
      <c r="P33" s="795" t="inlineStr">
        <is>
          <t>n/m</t>
        </is>
      </c>
    </row>
    <row r="34">
      <c r="C34" s="24" t="n"/>
      <c r="D34" s="24" t="n"/>
      <c r="E34" s="24" t="n"/>
      <c r="F34" s="794" t="n"/>
      <c r="G34" s="795" t="inlineStr">
        <is>
          <t>n/m</t>
        </is>
      </c>
      <c r="H34" s="794" t="n"/>
      <c r="I34" s="794" t="n"/>
      <c r="J34" s="795" t="inlineStr">
        <is>
          <t>n/m</t>
        </is>
      </c>
      <c r="K34" s="795" t="inlineStr">
        <is>
          <t>n/m</t>
        </is>
      </c>
      <c r="L34" s="26">
        <f>IFERROR(I34/$H34,"n/m")</f>
        <v/>
      </c>
      <c r="M34" s="795">
        <f>IFERROR(J34/$H34,"n/m")</f>
        <v/>
      </c>
      <c r="N34" s="796">
        <f>IFERROR($F34/H34,"n/m")</f>
        <v/>
      </c>
      <c r="O34" s="796">
        <f>IFERROR($F34/I34,"n/m")</f>
        <v/>
      </c>
      <c r="P34" s="795" t="inlineStr">
        <is>
          <t>n/m</t>
        </is>
      </c>
    </row>
    <row r="35">
      <c r="C35" s="24" t="n"/>
      <c r="D35" s="24" t="n"/>
      <c r="E35" s="24" t="n"/>
      <c r="F35" s="794" t="n"/>
      <c r="G35" s="795" t="inlineStr">
        <is>
          <t>n/m</t>
        </is>
      </c>
      <c r="H35" s="794" t="n"/>
      <c r="I35" s="794" t="n"/>
      <c r="J35" s="795" t="inlineStr">
        <is>
          <t>n/m</t>
        </is>
      </c>
      <c r="K35" s="795" t="inlineStr">
        <is>
          <t>n/m</t>
        </is>
      </c>
      <c r="L35" s="26">
        <f>IFERROR(I35/$H35,"n/m")</f>
        <v/>
      </c>
      <c r="M35" s="795">
        <f>IFERROR(J35/$H35,"n/m")</f>
        <v/>
      </c>
      <c r="N35" s="796">
        <f>IFERROR($F35/H35,"n/m")</f>
        <v/>
      </c>
      <c r="O35" s="796">
        <f>IFERROR($F35/I35,"n/m")</f>
        <v/>
      </c>
      <c r="P35" s="795" t="inlineStr">
        <is>
          <t>n/m</t>
        </is>
      </c>
    </row>
    <row r="36">
      <c r="C36" s="24" t="n"/>
      <c r="D36" s="24" t="n"/>
      <c r="E36" s="24" t="n"/>
      <c r="F36" s="794" t="n"/>
      <c r="G36" s="795" t="inlineStr">
        <is>
          <t>n/m</t>
        </is>
      </c>
      <c r="H36" s="794" t="n"/>
      <c r="I36" s="794" t="n"/>
      <c r="J36" s="795" t="inlineStr">
        <is>
          <t>n/m</t>
        </is>
      </c>
      <c r="K36" s="795" t="inlineStr">
        <is>
          <t>n/m</t>
        </is>
      </c>
      <c r="L36" s="26">
        <f>IFERROR(I36/$H36,"n/m")</f>
        <v/>
      </c>
      <c r="M36" s="795">
        <f>IFERROR(J36/$H36,"n/m")</f>
        <v/>
      </c>
      <c r="N36" s="796">
        <f>IFERROR($F36/H36,"n/m")</f>
        <v/>
      </c>
      <c r="O36" s="796">
        <f>IFERROR($F36/I36,"n/m")</f>
        <v/>
      </c>
      <c r="P36" s="795" t="inlineStr">
        <is>
          <t>n/m</t>
        </is>
      </c>
    </row>
    <row r="38" ht="13.9" customHeight="1">
      <c r="C38" s="27" t="inlineStr">
        <is>
          <t>Minimum</t>
        </is>
      </c>
      <c r="D38" s="28" t="n"/>
      <c r="E38" s="28" t="n"/>
      <c r="F38" s="801">
        <f>IFERROR(MIN(F28:F36),"n/m")</f>
        <v/>
      </c>
      <c r="G38" s="801" t="inlineStr">
        <is>
          <t>n/m</t>
        </is>
      </c>
      <c r="H38" s="801">
        <f>IFERROR(MIN(H28:H36),"n/m")</f>
        <v/>
      </c>
      <c r="I38" s="801">
        <f>IFERROR(MIN(I28:I36),"n/m")</f>
        <v/>
      </c>
      <c r="J38" s="801" t="inlineStr">
        <is>
          <t>n/m</t>
        </is>
      </c>
      <c r="K38" s="801" t="inlineStr">
        <is>
          <t>n/m</t>
        </is>
      </c>
      <c r="L38" s="30">
        <f>IFERROR(MIN(L28:L36),"n/m")</f>
        <v/>
      </c>
      <c r="M38" s="801" t="inlineStr">
        <is>
          <t>n/m</t>
        </is>
      </c>
      <c r="N38" s="802">
        <f>IFERROR(MIN(N28:N36),"n/m")</f>
        <v/>
      </c>
      <c r="O38" s="802">
        <f>IFERROR(MIN(O28:O36),"n/m")</f>
        <v/>
      </c>
      <c r="P38" s="813" t="inlineStr">
        <is>
          <t>n/m</t>
        </is>
      </c>
    </row>
    <row r="39" ht="13.9" customHeight="1">
      <c r="C39" s="33" t="inlineStr">
        <is>
          <t>Median</t>
        </is>
      </c>
      <c r="D39" s="34" t="n"/>
      <c r="E39" s="34" t="n"/>
      <c r="F39" s="804">
        <f>IFERROR(MEDIAN(F28:F36),"n/m")</f>
        <v/>
      </c>
      <c r="G39" s="814" t="inlineStr">
        <is>
          <t>n/m</t>
        </is>
      </c>
      <c r="H39" s="804">
        <f>IFERROR(MEDIAN(H28:H36),"n/m")</f>
        <v/>
      </c>
      <c r="I39" s="804">
        <f>IFERROR(MEDIAN(I28:I36),"n/m")</f>
        <v/>
      </c>
      <c r="J39" s="814" t="inlineStr">
        <is>
          <t>n/m</t>
        </is>
      </c>
      <c r="K39" s="814" t="inlineStr">
        <is>
          <t>n/m</t>
        </is>
      </c>
      <c r="L39" s="36">
        <f>IFERROR(MEDIAN(L28:L36),"n/m")</f>
        <v/>
      </c>
      <c r="M39" s="814" t="inlineStr">
        <is>
          <t>n/m</t>
        </is>
      </c>
      <c r="N39" s="805">
        <f>IFERROR(MEDIAN(N28:N36),"n/m")</f>
        <v/>
      </c>
      <c r="O39" s="805">
        <f>IFERROR(MEDIAN(O28:O36),"n/m")</f>
        <v/>
      </c>
      <c r="P39" s="815" t="inlineStr">
        <is>
          <t>n/m</t>
        </is>
      </c>
    </row>
    <row r="40" ht="13.9" customHeight="1">
      <c r="C40" s="33" t="inlineStr">
        <is>
          <t>Mean</t>
        </is>
      </c>
      <c r="D40" s="34" t="n"/>
      <c r="E40" s="34" t="n"/>
      <c r="F40" s="804">
        <f>IFERROR(AVERAGE(F28:F36),"n/m")</f>
        <v/>
      </c>
      <c r="G40" s="814" t="inlineStr">
        <is>
          <t>n/m</t>
        </is>
      </c>
      <c r="H40" s="804">
        <f>IFERROR(AVERAGE(H28:H36),"n/m")</f>
        <v/>
      </c>
      <c r="I40" s="804">
        <f>IFERROR(AVERAGE(I28:I36),"n/m")</f>
        <v/>
      </c>
      <c r="J40" s="814" t="inlineStr">
        <is>
          <t>n/m</t>
        </is>
      </c>
      <c r="K40" s="814" t="inlineStr">
        <is>
          <t>n/m</t>
        </is>
      </c>
      <c r="L40" s="36">
        <f>IFERROR(AVERAGE(L28:L36),"n/m")</f>
        <v/>
      </c>
      <c r="M40" s="814" t="inlineStr">
        <is>
          <t>n/m</t>
        </is>
      </c>
      <c r="N40" s="805">
        <f>IFERROR(AVERAGE(N28:N36),"n/m")</f>
        <v/>
      </c>
      <c r="O40" s="805">
        <f>IFERROR(AVERAGE(O28:O36),"n/m")</f>
        <v/>
      </c>
      <c r="P40" s="815" t="inlineStr">
        <is>
          <t>n/m</t>
        </is>
      </c>
    </row>
    <row r="41" ht="13.9" customHeight="1">
      <c r="C41" s="39" t="inlineStr">
        <is>
          <t>Max</t>
        </is>
      </c>
      <c r="D41" s="40" t="n"/>
      <c r="E41" s="40" t="n"/>
      <c r="F41" s="808">
        <f>IFERROR(MAX(F31:F36),"n/m")</f>
        <v/>
      </c>
      <c r="G41" s="816" t="inlineStr">
        <is>
          <t>n/m</t>
        </is>
      </c>
      <c r="H41" s="808">
        <f>IFERROR(MAX(H31:H36),"n/m")</f>
        <v/>
      </c>
      <c r="I41" s="808">
        <f>IFERROR(MAX(I31:I36),"n/m")</f>
        <v/>
      </c>
      <c r="J41" s="816" t="inlineStr">
        <is>
          <t>n/m</t>
        </is>
      </c>
      <c r="K41" s="816" t="inlineStr">
        <is>
          <t>n/m</t>
        </is>
      </c>
      <c r="L41" s="42">
        <f>IFERROR(MAX(L31:L36),"n/m")</f>
        <v/>
      </c>
      <c r="M41" s="816" t="inlineStr">
        <is>
          <t>n/m</t>
        </is>
      </c>
      <c r="N41" s="809">
        <f>IFERROR(MAX(N31:N36),"n/m")</f>
        <v/>
      </c>
      <c r="O41" s="809">
        <f>IFERROR(MAX(O31:O36),"n/m")</f>
        <v/>
      </c>
      <c r="P41" s="817" t="inlineStr">
        <is>
          <t>n/m</t>
        </is>
      </c>
    </row>
  </sheetData>
  <mergeCells count="6">
    <mergeCell ref="D26:D27"/>
    <mergeCell ref="C7:C8"/>
    <mergeCell ref="D7:D8"/>
    <mergeCell ref="E7:E8"/>
    <mergeCell ref="E26:E27"/>
    <mergeCell ref="C26:C27"/>
  </mergeCells>
  <pageMargins left="0.7" right="0.7" top="0.75" bottom="0.75" header="0.3" footer="0.3"/>
  <pageSetup orientation="portrait" scale="26" horizontalDpi="300" verticalDpi="300"/>
</worksheet>
</file>

<file path=xl/worksheets/sheet16.xml><?xml version="1.0" encoding="utf-8"?>
<worksheet xmlns="http://schemas.openxmlformats.org/spreadsheetml/2006/main">
  <sheetPr>
    <tabColor rgb="FFF2F2F2"/>
    <outlinePr summaryBelow="1" summaryRight="1"/>
    <pageSetUpPr/>
  </sheetPr>
  <dimension ref="A1:V192"/>
  <sheetViews>
    <sheetView showGridLines="0" view="pageBreakPreview" zoomScale="70" zoomScaleNormal="70" zoomScaleSheetLayoutView="70" workbookViewId="0">
      <selection activeCell="T9" sqref="T9"/>
    </sheetView>
  </sheetViews>
  <sheetFormatPr baseColWidth="8" defaultColWidth="0" defaultRowHeight="13.9" zeroHeight="1" outlineLevelRow="1"/>
  <cols>
    <col width="1.59765625" customWidth="1" style="8" min="1" max="2"/>
    <col width="10.59765625" customWidth="1" style="8" min="3" max="6"/>
    <col outlineLevel="1" width="10.59765625" customWidth="1" style="8" min="7" max="10"/>
    <col width="10.59765625" customWidth="1" style="8" min="11" max="20"/>
    <col width="1.59765625" customWidth="1" style="8" min="21" max="22"/>
    <col hidden="1" width="9.19921875" customWidth="1" style="307" min="23" max="16384"/>
  </cols>
  <sheetData>
    <row r="1">
      <c r="J1" s="442" t="inlineStr">
        <is>
          <t>Exit Year Calc:</t>
        </is>
      </c>
      <c r="K1" s="216" t="n">
        <v>1</v>
      </c>
      <c r="L1" s="191">
        <f>K1+1</f>
        <v/>
      </c>
      <c r="M1" s="191">
        <f>L1+1</f>
        <v/>
      </c>
      <c r="N1" s="191">
        <f>M1+1</f>
        <v/>
      </c>
      <c r="O1" s="191">
        <f>N1+1</f>
        <v/>
      </c>
      <c r="P1" s="191">
        <f>O1+1</f>
        <v/>
      </c>
    </row>
    <row r="3">
      <c r="C3" s="210">
        <f>'Financial Model'!C3</f>
        <v/>
      </c>
      <c r="D3" s="54" t="n"/>
      <c r="E3" s="54" t="n"/>
      <c r="F3" s="54" t="n"/>
      <c r="G3" s="54" t="n"/>
      <c r="H3" s="54" t="n"/>
      <c r="I3" s="54" t="n"/>
      <c r="J3" s="54" t="n"/>
      <c r="K3" s="54" t="n"/>
      <c r="L3" s="54" t="n"/>
      <c r="M3" s="54" t="n"/>
      <c r="N3" s="54" t="n"/>
      <c r="O3" s="54" t="n"/>
      <c r="P3" s="54" t="n"/>
      <c r="Q3" s="54" t="n"/>
      <c r="R3" s="54" t="n"/>
      <c r="S3" s="54" t="n"/>
      <c r="T3" s="55" t="n"/>
    </row>
    <row r="4">
      <c r="A4" s="216" t="inlineStr">
        <is>
          <t>X</t>
        </is>
      </c>
      <c r="C4" s="210" t="inlineStr">
        <is>
          <t>LBO Assumptions</t>
        </is>
      </c>
      <c r="D4" s="54" t="n"/>
      <c r="E4" s="54" t="n"/>
      <c r="F4" s="54" t="n"/>
      <c r="G4" s="54" t="n"/>
      <c r="H4" s="54" t="n"/>
      <c r="I4" s="54" t="n"/>
      <c r="J4" s="54" t="n"/>
      <c r="K4" s="54" t="n"/>
      <c r="L4" s="54" t="n"/>
      <c r="M4" s="54" t="n"/>
      <c r="N4" s="54" t="n"/>
      <c r="O4" s="54" t="n"/>
      <c r="P4" s="54" t="n"/>
      <c r="Q4" s="54" t="n"/>
      <c r="R4" s="54" t="n"/>
      <c r="S4" s="54" t="n"/>
      <c r="T4" s="55" t="n"/>
    </row>
    <row r="5">
      <c r="C5" s="210">
        <f>'Financial Model'!C5</f>
        <v/>
      </c>
      <c r="D5" s="54" t="n"/>
      <c r="E5" s="54" t="n"/>
      <c r="F5" s="54" t="n"/>
      <c r="G5" s="54" t="n"/>
      <c r="H5" s="54" t="n"/>
      <c r="I5" s="54" t="n"/>
      <c r="J5" s="54" t="n"/>
      <c r="K5" s="54" t="n"/>
      <c r="L5" s="54" t="n"/>
      <c r="M5" s="54" t="n"/>
      <c r="N5" s="54" t="n"/>
      <c r="O5" s="54" t="n"/>
      <c r="P5" s="54" t="n"/>
      <c r="Q5" s="54" t="n"/>
      <c r="R5" s="54" t="n"/>
      <c r="S5" s="54" t="n"/>
      <c r="T5" s="55" t="n"/>
    </row>
    <row r="6" ht="13.15" customFormat="1" customHeight="1" s="462" thickBot="1"/>
    <row r="7" ht="20" customHeight="1" thickBot="1" thickTop="1">
      <c r="C7" s="459" t="inlineStr">
        <is>
          <t>Transaction Assumptions</t>
        </is>
      </c>
      <c r="D7" s="460" t="n"/>
      <c r="E7" s="460" t="n"/>
      <c r="F7" s="460" t="n"/>
      <c r="G7" s="461" t="n"/>
      <c r="I7" s="455" t="inlineStr">
        <is>
          <t>Deal Financing</t>
        </is>
      </c>
      <c r="J7" s="455" t="n"/>
      <c r="K7" s="456" t="n"/>
      <c r="L7" s="456" t="n"/>
      <c r="M7" s="456" t="n"/>
      <c r="N7" s="457" t="n"/>
      <c r="O7" s="586" t="inlineStr">
        <is>
          <t>Purchase Price</t>
        </is>
      </c>
      <c r="P7" s="459" t="n"/>
      <c r="Q7" s="460" t="n"/>
      <c r="R7" s="460" t="n"/>
      <c r="S7" s="460" t="n"/>
      <c r="T7" s="461" t="n"/>
    </row>
    <row r="8" ht="14.35" customHeight="1" thickTop="1"/>
    <row r="9" ht="14.45" customHeight="1">
      <c r="C9" s="8" t="inlineStr">
        <is>
          <t>Entry EBITDA Multiple</t>
        </is>
      </c>
      <c r="G9" s="818">
        <f>T27/K64</f>
        <v/>
      </c>
      <c r="K9" s="191" t="inlineStr">
        <is>
          <t>Funded</t>
        </is>
      </c>
      <c r="L9" s="191" t="inlineStr">
        <is>
          <t>Interest</t>
        </is>
      </c>
      <c r="M9" s="191" t="inlineStr">
        <is>
          <t>Annual</t>
        </is>
      </c>
      <c r="N9" s="191" t="inlineStr">
        <is>
          <t>CF Sweep</t>
        </is>
      </c>
      <c r="P9" s="8" t="inlineStr">
        <is>
          <t>Pricing Method</t>
        </is>
      </c>
      <c r="T9" s="498" t="inlineStr">
        <is>
          <t>Multiple</t>
        </is>
      </c>
      <c r="V9" t="inlineStr">
        <is>
          <t>Sponsor-bid floor: $27.36, 0% premium. Entry multiple is solved from that bid (Multiple and Premium builds give the same price). Cash is after the $1.9B ACV payment. Exit 11.1x = memo trading multiple. Not the price target.</t>
        </is>
      </c>
    </row>
    <row r="10" ht="14.45" customHeight="1">
      <c r="C10" s="219" t="inlineStr">
        <is>
          <t>Transaction Fee</t>
        </is>
      </c>
      <c r="D10" s="95" t="n"/>
      <c r="E10" s="95" t="n"/>
      <c r="G10" s="610" t="n">
        <v>0.01</v>
      </c>
      <c r="K10" s="96" t="inlineStr">
        <is>
          <t>At Close</t>
        </is>
      </c>
      <c r="L10" s="587" t="inlineStr">
        <is>
          <t>Rate</t>
        </is>
      </c>
      <c r="M10" s="587" t="inlineStr">
        <is>
          <t>Amort.</t>
        </is>
      </c>
      <c r="N10" s="587" t="inlineStr">
        <is>
          <t>Priority</t>
        </is>
      </c>
    </row>
    <row r="11" ht="14.45" customHeight="1">
      <c r="C11" s="95" t="inlineStr">
        <is>
          <t>Debt Issuance Fee</t>
        </is>
      </c>
      <c r="D11" s="95" t="n"/>
      <c r="E11" s="95" t="n"/>
      <c r="G11" s="604" t="n">
        <v>0.005</v>
      </c>
      <c r="I11" s="202">
        <f>C17</f>
        <v/>
      </c>
      <c r="K11" s="819">
        <f>G17*$K$64</f>
        <v/>
      </c>
      <c r="L11" s="820" t="n">
        <v>0.06</v>
      </c>
      <c r="M11" s="821" t="n">
        <v>0</v>
      </c>
      <c r="N11" s="822" t="n">
        <v>1</v>
      </c>
      <c r="P11" s="132" t="inlineStr">
        <is>
          <t>(a) Multiple-Based Build (Traditional LBO)</t>
        </is>
      </c>
    </row>
    <row r="12" ht="14.35" customHeight="1">
      <c r="I12" s="202">
        <f>C18</f>
        <v/>
      </c>
      <c r="K12" s="823">
        <f>G18*$K$64</f>
        <v/>
      </c>
      <c r="L12" s="821" t="n">
        <v>0.08</v>
      </c>
      <c r="M12" s="821" t="n">
        <v>0.05</v>
      </c>
      <c r="N12" s="822" t="n">
        <v>2</v>
      </c>
      <c r="P12" s="8" t="inlineStr">
        <is>
          <t>Entry EBITDA Multiple</t>
        </is>
      </c>
      <c r="T12" s="824">
        <f>G9</f>
        <v/>
      </c>
    </row>
    <row r="13" ht="14.35" customHeight="1">
      <c r="C13" s="8" t="inlineStr">
        <is>
          <t>Minimum Cash to BS</t>
        </is>
      </c>
      <c r="G13" s="819" t="n">
        <v>500</v>
      </c>
      <c r="I13" s="202">
        <f>C19</f>
        <v/>
      </c>
      <c r="K13" s="823">
        <f>G19*$K$64</f>
        <v/>
      </c>
      <c r="L13" s="821" t="n">
        <v>0.12</v>
      </c>
      <c r="M13" s="821" t="n">
        <v>0.01</v>
      </c>
      <c r="N13" s="822" t="inlineStr">
        <is>
          <t>n/a</t>
        </is>
      </c>
      <c r="P13" s="8" t="inlineStr">
        <is>
          <t>x Closing LTM EBITDA</t>
        </is>
      </c>
      <c r="T13" s="628">
        <f>K64</f>
        <v/>
      </c>
    </row>
    <row r="14" ht="14.45" customHeight="1">
      <c r="C14" s="8" t="inlineStr">
        <is>
          <t>Existing Cash from BS</t>
        </is>
      </c>
      <c r="G14" s="767">
        <f>'Financial Model'!J136+Drivers!K171</f>
        <v/>
      </c>
      <c r="I14" s="94">
        <f>C21</f>
        <v/>
      </c>
      <c r="K14" s="825">
        <f>G21*(N36-G30-G31-G32-G33)</f>
        <v/>
      </c>
      <c r="L14" s="442" t="inlineStr">
        <is>
          <t>n/a</t>
        </is>
      </c>
      <c r="M14" s="442" t="inlineStr">
        <is>
          <t>n/a</t>
        </is>
      </c>
      <c r="N14" s="442" t="inlineStr">
        <is>
          <t>n/a</t>
        </is>
      </c>
      <c r="P14" s="124" t="inlineStr">
        <is>
          <t>Enterprise Value (Multiple Method)</t>
        </is>
      </c>
      <c r="Q14" s="124" t="n"/>
      <c r="R14" s="124" t="n"/>
      <c r="S14" s="124" t="n"/>
      <c r="T14" s="826">
        <f>T12*T13</f>
        <v/>
      </c>
    </row>
    <row r="15" ht="14.45" customHeight="1">
      <c r="I15" s="588" t="inlineStr">
        <is>
          <t>Sponsor Equity</t>
        </is>
      </c>
      <c r="K15" s="708">
        <f>G35</f>
        <v/>
      </c>
      <c r="L15" s="442" t="inlineStr">
        <is>
          <t>n/a</t>
        </is>
      </c>
      <c r="M15" s="442" t="inlineStr">
        <is>
          <t>n/a</t>
        </is>
      </c>
      <c r="N15" s="442" t="inlineStr">
        <is>
          <t>n/a</t>
        </is>
      </c>
      <c r="P15" s="215" t="inlineStr">
        <is>
          <t>(-) Existing Debt</t>
        </is>
      </c>
      <c r="T15" s="628">
        <f>-SUM('Financial Model'!J75:J77)</f>
        <v/>
      </c>
    </row>
    <row r="16" ht="14.35" customHeight="1">
      <c r="C16" s="450" t="inlineStr">
        <is>
          <t>Total Leverage (x EBITDA)</t>
        </is>
      </c>
      <c r="G16" s="827" t="n">
        <v>3</v>
      </c>
      <c r="I16" s="506" t="inlineStr">
        <is>
          <t>Total / Wtd.</t>
        </is>
      </c>
      <c r="J16" s="504" t="n"/>
      <c r="K16" s="828">
        <f>SUM(K11:K15)</f>
        <v/>
      </c>
      <c r="L16" s="829">
        <f>IFERROR(SUMPRODUCT(K11:K13,L11:L13)/SUM(K11:K13),0)</f>
        <v/>
      </c>
      <c r="M16" s="829">
        <f>IFERROR(SUMPRODUCT(K11:K13,M11:M13)/SUM(K11:K13),0)</f>
        <v/>
      </c>
      <c r="N16" s="829" t="n"/>
      <c r="P16" s="215" t="inlineStr">
        <is>
          <t>(+) Existing Cash</t>
        </is>
      </c>
      <c r="T16" s="767">
        <f>'Financial Model'!J136+Drivers!K171</f>
        <v/>
      </c>
    </row>
    <row r="17" ht="14.35" customHeight="1">
      <c r="C17" s="380" t="inlineStr">
        <is>
          <t>Revolver</t>
        </is>
      </c>
      <c r="G17" s="827" t="n">
        <v>1</v>
      </c>
      <c r="P17" s="124" t="inlineStr">
        <is>
          <t>Equity Purchase Price</t>
        </is>
      </c>
      <c r="Q17" s="124" t="n"/>
      <c r="R17" s="124" t="n"/>
      <c r="S17" s="124" t="n"/>
      <c r="T17" s="826">
        <f>SUM(T14:T16)</f>
        <v/>
      </c>
    </row>
    <row r="18" ht="14.35" customHeight="1">
      <c r="C18" s="380" t="inlineStr">
        <is>
          <t>Term Loan B</t>
        </is>
      </c>
      <c r="G18" s="827" t="n">
        <v>1</v>
      </c>
    </row>
    <row r="19" ht="14.35" customHeight="1">
      <c r="C19" s="380" t="inlineStr">
        <is>
          <t>Mezzanine</t>
        </is>
      </c>
      <c r="G19" s="830">
        <f>G16-SUM(G17:G18)</f>
        <v/>
      </c>
      <c r="K19" s="603" t="n"/>
      <c r="P19" s="132" t="inlineStr">
        <is>
          <t>(b) Purchase Premium Build (Take-Private)</t>
        </is>
      </c>
      <c r="Q19" s="307" t="n"/>
      <c r="R19" s="307" t="n"/>
    </row>
    <row r="20" ht="14.35" customHeight="1">
      <c r="P20" s="8" t="inlineStr">
        <is>
          <t>Unaffected Share Price ($)</t>
        </is>
      </c>
      <c r="T20" s="831">
        <f>Support!$D$4</f>
        <v/>
      </c>
    </row>
    <row r="21" ht="14.35" customHeight="1">
      <c r="C21" s="8" t="inlineStr">
        <is>
          <t>Management Rollover</t>
        </is>
      </c>
      <c r="G21" s="454" t="n">
        <v>0.05</v>
      </c>
      <c r="P21" s="8" t="inlineStr">
        <is>
          <t>x (1 + Purchase Premium)</t>
        </is>
      </c>
      <c r="T21" s="508" t="n">
        <v>0</v>
      </c>
    </row>
    <row r="22" ht="14.35" customHeight="1">
      <c r="P22" s="458" t="inlineStr">
        <is>
          <t>Offer Price Per Share</t>
        </is>
      </c>
      <c r="Q22" s="458" t="n"/>
      <c r="R22" s="458" t="n"/>
      <c r="S22" s="458" t="n"/>
      <c r="T22" s="510">
        <f>T20*(1+T21)</f>
        <v/>
      </c>
    </row>
    <row r="23" ht="14.35" customHeight="1">
      <c r="C23" s="450" t="inlineStr">
        <is>
          <t>Tax Rate</t>
        </is>
      </c>
      <c r="G23" s="453">
        <f>L76</f>
        <v/>
      </c>
      <c r="P23" s="8" t="inlineStr">
        <is>
          <t>x Fully-Diluted Shares O/S (mm)</t>
        </is>
      </c>
      <c r="T23" s="832">
        <f>Support!$D$6</f>
        <v/>
      </c>
    </row>
    <row r="24" ht="14.35" customHeight="1">
      <c r="P24" s="124" t="inlineStr">
        <is>
          <t>Equity Purchase Price</t>
        </is>
      </c>
      <c r="Q24" s="124" t="n"/>
      <c r="R24" s="124" t="n"/>
      <c r="S24" s="124" t="n"/>
      <c r="T24" s="711">
        <f>T22*T23</f>
        <v/>
      </c>
    </row>
    <row r="25" ht="14.35" customHeight="1">
      <c r="C25" s="450" t="inlineStr">
        <is>
          <t>Exit Multiple (x EBITDA)</t>
        </is>
      </c>
      <c r="G25" s="827" t="n">
        <v>11.1</v>
      </c>
      <c r="P25" s="215" t="inlineStr">
        <is>
          <t>(+) Existing Debt</t>
        </is>
      </c>
      <c r="T25" s="628">
        <f>SUM('Financial Model'!J75:J77)</f>
        <v/>
      </c>
    </row>
    <row r="26" ht="14.35" customHeight="1">
      <c r="C26" s="94" t="inlineStr">
        <is>
          <t>Exit Year (Hold Period)</t>
        </is>
      </c>
      <c r="G26" s="833" t="n">
        <v>5</v>
      </c>
      <c r="P26" s="215" t="inlineStr">
        <is>
          <t>(-) Existing Cash</t>
        </is>
      </c>
      <c r="T26" s="767">
        <f>-('Financial Model'!J50+Drivers!K171)</f>
        <v/>
      </c>
    </row>
    <row r="27" ht="14.35" customHeight="1" thickBot="1">
      <c r="P27" s="124" t="inlineStr">
        <is>
          <t>Enterprise Value (Purchase Premium Build)</t>
        </is>
      </c>
      <c r="Q27" s="124" t="n"/>
      <c r="R27" s="124" t="n"/>
      <c r="S27" s="124" t="n"/>
      <c r="T27" s="826">
        <f>T24+SUM(T25:T26)</f>
        <v/>
      </c>
    </row>
    <row r="28" ht="20" customHeight="1" thickBot="1" thickTop="1">
      <c r="C28" s="455" t="inlineStr">
        <is>
          <t>Sources &amp; Uses</t>
        </is>
      </c>
      <c r="D28" s="456" t="n"/>
      <c r="E28" s="456" t="n"/>
      <c r="F28" s="456" t="n"/>
      <c r="G28" s="456" t="n"/>
      <c r="H28" s="456" t="n"/>
      <c r="I28" s="456" t="n"/>
      <c r="J28" s="456" t="n"/>
      <c r="K28" s="456" t="n"/>
      <c r="L28" s="456" t="n"/>
      <c r="M28" s="456" t="n"/>
      <c r="N28" s="457" t="n"/>
    </row>
    <row r="29" ht="14.45" customHeight="1" thickTop="1">
      <c r="P29" s="490" t="inlineStr">
        <is>
          <t>Active Equity Purchase Price</t>
        </is>
      </c>
      <c r="Q29" s="491" t="n"/>
      <c r="R29" s="491" t="n"/>
      <c r="S29" s="491" t="n"/>
      <c r="T29" s="834">
        <f>IF($T$9="Premium",T24,T17)</f>
        <v/>
      </c>
    </row>
    <row r="30" ht="14.45" customHeight="1">
      <c r="C30" s="202">
        <f>I11</f>
        <v/>
      </c>
      <c r="G30" s="700">
        <f>K11</f>
        <v/>
      </c>
      <c r="J30" s="8" t="inlineStr">
        <is>
          <t>Equity Purchase Price</t>
        </is>
      </c>
      <c r="N30" s="700">
        <f>T29</f>
        <v/>
      </c>
      <c r="P30" s="492" t="inlineStr">
        <is>
          <t>Active Enterprise Value</t>
        </is>
      </c>
      <c r="Q30" s="493" t="n"/>
      <c r="R30" s="493" t="n"/>
      <c r="S30" s="493" t="n"/>
      <c r="T30" s="835">
        <f>IF($T$9="Premium",T27,T14)</f>
        <v/>
      </c>
    </row>
    <row r="31" ht="14.35" customHeight="1">
      <c r="C31" s="202">
        <f>I12</f>
        <v/>
      </c>
      <c r="G31" s="708">
        <f>K12</f>
        <v/>
      </c>
      <c r="J31" s="8" t="inlineStr">
        <is>
          <t>Refinance Existing Debt</t>
        </is>
      </c>
      <c r="N31" s="628">
        <f>SUM('Financial Model'!J75:J76)</f>
        <v/>
      </c>
      <c r="P31" s="494" t="inlineStr">
        <is>
          <t>Implied EV/EBITDA Multiple</t>
        </is>
      </c>
      <c r="Q31" s="495" t="n"/>
      <c r="R31" s="495" t="n"/>
      <c r="S31" s="495" t="n"/>
      <c r="T31" s="836">
        <f>T30/K64</f>
        <v/>
      </c>
    </row>
    <row r="32" ht="14.35" customHeight="1">
      <c r="C32" s="202">
        <f>I13</f>
        <v/>
      </c>
      <c r="G32" s="708">
        <f>K13</f>
        <v/>
      </c>
      <c r="J32" s="8" t="inlineStr">
        <is>
          <t>Transaction Fees</t>
        </is>
      </c>
      <c r="N32" s="708">
        <f>T34</f>
        <v/>
      </c>
      <c r="P32" s="215" t="inlineStr">
        <is>
          <t>(+) Debt Refinancing</t>
        </is>
      </c>
      <c r="T32" s="708">
        <f>N31</f>
        <v/>
      </c>
    </row>
    <row r="33" ht="14.35" customHeight="1">
      <c r="C33" s="202">
        <f>C14</f>
        <v/>
      </c>
      <c r="G33" s="708">
        <f>G14</f>
        <v/>
      </c>
      <c r="J33" s="8" t="inlineStr">
        <is>
          <t>Financing Fees</t>
        </is>
      </c>
      <c r="N33" s="708">
        <f>T33</f>
        <v/>
      </c>
      <c r="P33" s="215" t="inlineStr">
        <is>
          <t>(+) Transaction Fees</t>
        </is>
      </c>
      <c r="T33" s="628">
        <f>G10*T30</f>
        <v/>
      </c>
    </row>
    <row r="34" ht="14.35" customHeight="1">
      <c r="C34" s="202">
        <f>I14</f>
        <v/>
      </c>
      <c r="G34" s="708">
        <f>K14</f>
        <v/>
      </c>
      <c r="H34" s="135" t="n"/>
      <c r="J34" s="8" t="inlineStr">
        <is>
          <t>Min. Cash to BS.</t>
        </is>
      </c>
      <c r="N34" s="708">
        <f>G13</f>
        <v/>
      </c>
      <c r="P34" s="215" t="inlineStr">
        <is>
          <t>(+) Financing Fees</t>
        </is>
      </c>
      <c r="T34" s="628">
        <f>G11*T30</f>
        <v/>
      </c>
    </row>
    <row r="35" ht="14.35" customHeight="1">
      <c r="C35" s="202">
        <f>I15</f>
        <v/>
      </c>
      <c r="G35" s="709">
        <f>G36-SUM(G30:G34)</f>
        <v/>
      </c>
      <c r="H35" s="135" t="n"/>
      <c r="N35" s="628" t="n"/>
      <c r="P35" s="215" t="inlineStr">
        <is>
          <t>(+) Min. Cash to BS</t>
        </is>
      </c>
      <c r="T35" s="708">
        <f>G13</f>
        <v/>
      </c>
    </row>
    <row r="36" ht="14.25" customHeight="1" thickBot="1">
      <c r="C36" s="504" t="inlineStr">
        <is>
          <t>Total Sources</t>
        </is>
      </c>
      <c r="D36" s="504" t="n"/>
      <c r="E36" s="504" t="n"/>
      <c r="F36" s="504" t="n"/>
      <c r="G36" s="837">
        <f>N36</f>
        <v/>
      </c>
      <c r="J36" s="504" t="inlineStr">
        <is>
          <t>Total Uses</t>
        </is>
      </c>
      <c r="K36" s="504" t="n"/>
      <c r="L36" s="504" t="n"/>
      <c r="M36" s="504" t="n"/>
      <c r="N36" s="837">
        <f>SUM(N30:N35)</f>
        <v/>
      </c>
      <c r="P36" s="502" t="inlineStr">
        <is>
          <t>Total Investment</t>
        </is>
      </c>
      <c r="Q36" s="503" t="n"/>
      <c r="R36" s="503" t="n"/>
      <c r="S36" s="503" t="n"/>
      <c r="T36" s="838">
        <f>SUM(T33:T35,T30)</f>
        <v/>
      </c>
    </row>
    <row r="37" ht="14.25" customHeight="1" thickTop="1">
      <c r="I37" s="215" t="n"/>
      <c r="O37" s="507" t="n"/>
      <c r="P37" s="507" t="n"/>
      <c r="Q37" s="212" t="n"/>
      <c r="R37" s="212" t="n"/>
      <c r="S37" s="212" t="n"/>
      <c r="T37" s="212" t="n"/>
    </row>
    <row r="38">
      <c r="K38" s="215" t="n"/>
    </row>
    <row r="40">
      <c r="C40" s="210">
        <f>'Financial Model'!C3</f>
        <v/>
      </c>
      <c r="D40" s="54" t="n"/>
      <c r="E40" s="54" t="n"/>
      <c r="F40" s="54" t="n"/>
      <c r="G40" s="54" t="n"/>
      <c r="H40" s="54" t="n"/>
      <c r="I40" s="54" t="n"/>
      <c r="J40" s="55" t="n"/>
      <c r="K40" s="54" t="n"/>
      <c r="L40" s="54" t="n"/>
      <c r="M40" s="54" t="n"/>
      <c r="N40" s="54" t="n"/>
      <c r="O40" s="54" t="n"/>
      <c r="P40" s="54" t="n"/>
      <c r="Q40" s="54" t="n"/>
      <c r="R40" s="54" t="n"/>
      <c r="S40" s="54" t="n"/>
      <c r="T40" s="55" t="n"/>
    </row>
    <row r="41">
      <c r="A41" s="216" t="inlineStr">
        <is>
          <t>X</t>
        </is>
      </c>
      <c r="C41" s="210" t="inlineStr">
        <is>
          <t>LBO Model</t>
        </is>
      </c>
      <c r="D41" s="54" t="n"/>
      <c r="E41" s="54" t="n"/>
      <c r="F41" s="54" t="n"/>
      <c r="G41" s="54" t="n"/>
      <c r="H41" s="54" t="n"/>
      <c r="I41" s="54" t="n"/>
      <c r="J41" s="211">
        <f>'Financial Model'!J4</f>
        <v/>
      </c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5" t="n"/>
    </row>
    <row r="42">
      <c r="C42" s="210">
        <f>'Financial Model'!C5</f>
        <v/>
      </c>
      <c r="D42" s="54" t="n"/>
      <c r="E42" s="54" t="n"/>
      <c r="F42" s="54" t="n"/>
      <c r="G42" s="54">
        <f>'Financial Model'!G5</f>
        <v/>
      </c>
      <c r="H42" s="54">
        <f>'Financial Model'!H5</f>
        <v/>
      </c>
      <c r="I42" s="54">
        <f>'Financial Model'!I5</f>
        <v/>
      </c>
      <c r="J42" s="674">
        <f>'Financial Model'!J5</f>
        <v/>
      </c>
      <c r="K42" s="54">
        <f>'Financial Model'!K5</f>
        <v/>
      </c>
      <c r="L42" s="54">
        <f>'Financial Model'!L5</f>
        <v/>
      </c>
      <c r="M42" s="54">
        <f>'Financial Model'!M5</f>
        <v/>
      </c>
      <c r="N42" s="54">
        <f>'Financial Model'!N5</f>
        <v/>
      </c>
      <c r="O42" s="54">
        <f>'Financial Model'!O5</f>
        <v/>
      </c>
      <c r="P42" s="54">
        <f>'Financial Model'!P5</f>
        <v/>
      </c>
      <c r="Q42" s="54">
        <f>'Financial Model'!Q5</f>
        <v/>
      </c>
      <c r="R42" s="54">
        <f>'Financial Model'!R5</f>
        <v/>
      </c>
      <c r="S42" s="54">
        <f>'Financial Model'!S5</f>
        <v/>
      </c>
      <c r="T42" s="55">
        <f>'Financial Model'!T5</f>
        <v/>
      </c>
    </row>
    <row r="43" ht="14.35" customHeight="1">
      <c r="T43" s="526" t="n"/>
    </row>
    <row r="44" hidden="1" outlineLevel="1" ht="14.35" customHeight="1">
      <c r="C44" s="316">
        <f>'Financial Model'!C7</f>
        <v/>
      </c>
      <c r="D44" s="201" t="n"/>
      <c r="E44" s="201" t="n"/>
      <c r="F44" s="201" t="n"/>
      <c r="G44" s="675">
        <f>'Financial Model'!G7</f>
        <v/>
      </c>
      <c r="H44" s="675">
        <f>'Financial Model'!H7</f>
        <v/>
      </c>
      <c r="I44" s="675">
        <f>'Financial Model'!I7</f>
        <v/>
      </c>
      <c r="J44" s="675">
        <f>'Financial Model'!J7</f>
        <v/>
      </c>
      <c r="K44" s="675">
        <f>'Financial Model'!K7</f>
        <v/>
      </c>
      <c r="L44" s="675">
        <f>'Financial Model'!L7</f>
        <v/>
      </c>
      <c r="M44" s="675">
        <f>'Financial Model'!M7</f>
        <v/>
      </c>
      <c r="N44" s="675">
        <f>'Financial Model'!N7</f>
        <v/>
      </c>
      <c r="O44" s="675">
        <f>'Financial Model'!O7</f>
        <v/>
      </c>
      <c r="P44" s="675">
        <f>'Financial Model'!P7</f>
        <v/>
      </c>
      <c r="Q44" s="675">
        <f>'Financial Model'!Q7</f>
        <v/>
      </c>
      <c r="R44" s="675">
        <f>'Financial Model'!R7</f>
        <v/>
      </c>
      <c r="S44" s="675">
        <f>'Financial Model'!S7</f>
        <v/>
      </c>
      <c r="T44" s="839">
        <f>'Financial Model'!T7</f>
        <v/>
      </c>
    </row>
    <row r="45" hidden="1" outlineLevel="1" ht="14.35" customHeight="1">
      <c r="C45" s="320">
        <f>'Financial Model'!C8</f>
        <v/>
      </c>
      <c r="D45" s="321" t="n"/>
      <c r="E45" s="321" t="n"/>
      <c r="F45" s="321" t="n"/>
      <c r="G45" s="676">
        <f>'Financial Model'!G8</f>
        <v/>
      </c>
      <c r="H45" s="676">
        <f>'Financial Model'!H8</f>
        <v/>
      </c>
      <c r="I45" s="676">
        <f>'Financial Model'!I8</f>
        <v/>
      </c>
      <c r="J45" s="676">
        <f>'Financial Model'!J8</f>
        <v/>
      </c>
      <c r="K45" s="677">
        <f>'Financial Model'!K8</f>
        <v/>
      </c>
      <c r="L45" s="676">
        <f>'Financial Model'!L8</f>
        <v/>
      </c>
      <c r="M45" s="676">
        <f>'Financial Model'!M8</f>
        <v/>
      </c>
      <c r="N45" s="676">
        <f>'Financial Model'!N8</f>
        <v/>
      </c>
      <c r="O45" s="676">
        <f>'Financial Model'!O8</f>
        <v/>
      </c>
      <c r="P45" s="676">
        <f>'Financial Model'!P8</f>
        <v/>
      </c>
      <c r="Q45" s="676">
        <f>'Financial Model'!Q8</f>
        <v/>
      </c>
      <c r="R45" s="676">
        <f>'Financial Model'!R8</f>
        <v/>
      </c>
      <c r="S45" s="676">
        <f>'Financial Model'!S8</f>
        <v/>
      </c>
      <c r="T45" s="840">
        <f>'Financial Model'!T8</f>
        <v/>
      </c>
    </row>
    <row r="46" collapsed="1" ht="14.35" customHeight="1">
      <c r="C46" s="244">
        <f>'Financial Model'!C9</f>
        <v/>
      </c>
      <c r="D46" s="244" t="n"/>
      <c r="E46" s="244" t="n"/>
      <c r="F46" s="244" t="n"/>
      <c r="G46" s="725">
        <f>'Financial Model'!G9</f>
        <v/>
      </c>
      <c r="H46" s="725">
        <f>'Financial Model'!H9</f>
        <v/>
      </c>
      <c r="I46" s="725">
        <f>'Financial Model'!I9</f>
        <v/>
      </c>
      <c r="J46" s="725">
        <f>'Financial Model'!J9</f>
        <v/>
      </c>
      <c r="K46" s="841">
        <f>'Financial Model'!K9</f>
        <v/>
      </c>
      <c r="L46" s="725">
        <f>'Financial Model'!L9</f>
        <v/>
      </c>
      <c r="M46" s="725">
        <f>'Financial Model'!M9</f>
        <v/>
      </c>
      <c r="N46" s="725">
        <f>'Financial Model'!N9</f>
        <v/>
      </c>
      <c r="O46" s="725">
        <f>'Financial Model'!O9</f>
        <v/>
      </c>
      <c r="P46" s="725">
        <f>'Financial Model'!P9</f>
        <v/>
      </c>
      <c r="Q46" s="725">
        <f>'Financial Model'!Q9</f>
        <v/>
      </c>
      <c r="R46" s="725">
        <f>'Financial Model'!R9</f>
        <v/>
      </c>
      <c r="S46" s="725">
        <f>'Financial Model'!S9</f>
        <v/>
      </c>
      <c r="T46" s="842">
        <f>'Financial Model'!T9</f>
        <v/>
      </c>
    </row>
    <row r="47" ht="14.35" customHeight="1">
      <c r="C47" s="466">
        <f>'Financial Model'!C10</f>
        <v/>
      </c>
      <c r="D47" s="15" t="n"/>
      <c r="E47" s="15" t="n"/>
      <c r="F47" s="15" t="n"/>
      <c r="G47" s="311">
        <f>'Financial Model'!G10</f>
        <v/>
      </c>
      <c r="H47" s="311">
        <f>'Financial Model'!H10</f>
        <v/>
      </c>
      <c r="I47" s="311">
        <f>'Financial Model'!I10</f>
        <v/>
      </c>
      <c r="J47" s="311">
        <f>'Financial Model'!J10</f>
        <v/>
      </c>
      <c r="K47" s="407">
        <f>'Financial Model'!K10</f>
        <v/>
      </c>
      <c r="L47" s="311">
        <f>'Financial Model'!L10</f>
        <v/>
      </c>
      <c r="M47" s="311">
        <f>'Financial Model'!M10</f>
        <v/>
      </c>
      <c r="N47" s="311">
        <f>'Financial Model'!N10</f>
        <v/>
      </c>
      <c r="O47" s="311">
        <f>'Financial Model'!O10</f>
        <v/>
      </c>
      <c r="P47" s="311">
        <f>'Financial Model'!P10</f>
        <v/>
      </c>
      <c r="Q47" s="311">
        <f>'Financial Model'!Q10</f>
        <v/>
      </c>
      <c r="R47" s="311">
        <f>'Financial Model'!R10</f>
        <v/>
      </c>
      <c r="S47" s="311">
        <f>'Financial Model'!S10</f>
        <v/>
      </c>
      <c r="T47" s="537">
        <f>'Financial Model'!T10</f>
        <v/>
      </c>
    </row>
    <row r="48" ht="14.35" customHeight="1">
      <c r="C48" s="201" t="n"/>
      <c r="D48" s="201" t="n"/>
      <c r="E48" s="201" t="n"/>
      <c r="F48" s="201" t="n"/>
      <c r="G48" s="675" t="n"/>
      <c r="H48" s="675" t="n"/>
      <c r="I48" s="675" t="n"/>
      <c r="J48" s="675" t="n"/>
      <c r="K48" s="690" t="n"/>
      <c r="L48" s="675" t="n"/>
      <c r="M48" s="675" t="n"/>
      <c r="N48" s="675" t="n"/>
      <c r="O48" s="675" t="n"/>
      <c r="P48" s="675" t="n"/>
      <c r="Q48" s="675" t="n"/>
      <c r="R48" s="675" t="n"/>
      <c r="S48" s="675" t="n"/>
      <c r="T48" s="839" t="n"/>
    </row>
    <row r="49" hidden="1" outlineLevel="1" ht="14.35" customHeight="1">
      <c r="C49" s="316">
        <f>'Financial Model'!C12</f>
        <v/>
      </c>
      <c r="D49" s="201" t="n"/>
      <c r="E49" s="201" t="n"/>
      <c r="F49" s="201" t="n"/>
      <c r="G49" s="675">
        <f>'Financial Model'!G12</f>
        <v/>
      </c>
      <c r="H49" s="675">
        <f>'Financial Model'!H12</f>
        <v/>
      </c>
      <c r="I49" s="675">
        <f>'Financial Model'!I12</f>
        <v/>
      </c>
      <c r="J49" s="675">
        <f>'Financial Model'!J12</f>
        <v/>
      </c>
      <c r="K49" s="675">
        <f>'Financial Model'!K12</f>
        <v/>
      </c>
      <c r="L49" s="675">
        <f>'Financial Model'!L12</f>
        <v/>
      </c>
      <c r="M49" s="675">
        <f>'Financial Model'!M12</f>
        <v/>
      </c>
      <c r="N49" s="675">
        <f>'Financial Model'!N12</f>
        <v/>
      </c>
      <c r="O49" s="675">
        <f>'Financial Model'!O12</f>
        <v/>
      </c>
      <c r="P49" s="675">
        <f>'Financial Model'!P12</f>
        <v/>
      </c>
      <c r="Q49" s="675">
        <f>'Financial Model'!Q12</f>
        <v/>
      </c>
      <c r="R49" s="675">
        <f>'Financial Model'!R12</f>
        <v/>
      </c>
      <c r="S49" s="675">
        <f>'Financial Model'!S12</f>
        <v/>
      </c>
      <c r="T49" s="839">
        <f>'Financial Model'!T12</f>
        <v/>
      </c>
    </row>
    <row r="50" hidden="1" outlineLevel="1" ht="14.35" customHeight="1">
      <c r="C50" s="320">
        <f>'Financial Model'!C13</f>
        <v/>
      </c>
      <c r="D50" s="321" t="n"/>
      <c r="E50" s="321" t="n"/>
      <c r="F50" s="321" t="n"/>
      <c r="G50" s="676">
        <f>'Financial Model'!G13</f>
        <v/>
      </c>
      <c r="H50" s="676">
        <f>'Financial Model'!H13</f>
        <v/>
      </c>
      <c r="I50" s="676">
        <f>'Financial Model'!I13</f>
        <v/>
      </c>
      <c r="J50" s="676">
        <f>'Financial Model'!J13</f>
        <v/>
      </c>
      <c r="K50" s="677">
        <f>'Financial Model'!K13</f>
        <v/>
      </c>
      <c r="L50" s="676">
        <f>'Financial Model'!L13</f>
        <v/>
      </c>
      <c r="M50" s="676">
        <f>'Financial Model'!M13</f>
        <v/>
      </c>
      <c r="N50" s="676">
        <f>'Financial Model'!N13</f>
        <v/>
      </c>
      <c r="O50" s="676">
        <f>'Financial Model'!O13</f>
        <v/>
      </c>
      <c r="P50" s="676">
        <f>'Financial Model'!P13</f>
        <v/>
      </c>
      <c r="Q50" s="676">
        <f>'Financial Model'!Q13</f>
        <v/>
      </c>
      <c r="R50" s="676">
        <f>'Financial Model'!R13</f>
        <v/>
      </c>
      <c r="S50" s="676">
        <f>'Financial Model'!S13</f>
        <v/>
      </c>
      <c r="T50" s="840">
        <f>'Financial Model'!T13</f>
        <v/>
      </c>
    </row>
    <row r="51" collapsed="1" ht="14.35" customHeight="1">
      <c r="C51" s="371">
        <f>'Financial Model'!C14</f>
        <v/>
      </c>
      <c r="D51" s="244" t="n"/>
      <c r="E51" s="244" t="n"/>
      <c r="F51" s="244" t="n"/>
      <c r="G51" s="725">
        <f>'Financial Model'!G14</f>
        <v/>
      </c>
      <c r="H51" s="725">
        <f>'Financial Model'!H14</f>
        <v/>
      </c>
      <c r="I51" s="725">
        <f>'Financial Model'!I14</f>
        <v/>
      </c>
      <c r="J51" s="725">
        <f>'Financial Model'!J14</f>
        <v/>
      </c>
      <c r="K51" s="841">
        <f>'Financial Model'!K14</f>
        <v/>
      </c>
      <c r="L51" s="725">
        <f>'Financial Model'!L14</f>
        <v/>
      </c>
      <c r="M51" s="725">
        <f>'Financial Model'!M14</f>
        <v/>
      </c>
      <c r="N51" s="725">
        <f>'Financial Model'!N14</f>
        <v/>
      </c>
      <c r="O51" s="725">
        <f>'Financial Model'!O14</f>
        <v/>
      </c>
      <c r="P51" s="725">
        <f>'Financial Model'!P14</f>
        <v/>
      </c>
      <c r="Q51" s="725">
        <f>'Financial Model'!Q14</f>
        <v/>
      </c>
      <c r="R51" s="725">
        <f>'Financial Model'!R14</f>
        <v/>
      </c>
      <c r="S51" s="725">
        <f>'Financial Model'!S14</f>
        <v/>
      </c>
      <c r="T51" s="842">
        <f>'Financial Model'!T14</f>
        <v/>
      </c>
    </row>
    <row r="52" ht="14.35" customHeight="1">
      <c r="C52" s="201" t="n"/>
      <c r="D52" s="201" t="n"/>
      <c r="E52" s="201" t="n"/>
      <c r="F52" s="201" t="n"/>
      <c r="G52" s="675" t="n"/>
      <c r="H52" s="675" t="n"/>
      <c r="I52" s="675" t="n"/>
      <c r="J52" s="675" t="n"/>
      <c r="K52" s="690" t="n"/>
      <c r="L52" s="675" t="n"/>
      <c r="M52" s="675" t="n"/>
      <c r="N52" s="675" t="n"/>
      <c r="O52" s="675" t="n"/>
      <c r="P52" s="675" t="n"/>
      <c r="Q52" s="675" t="n"/>
      <c r="R52" s="675" t="n"/>
      <c r="S52" s="675" t="n"/>
      <c r="T52" s="839" t="n"/>
    </row>
    <row r="53" hidden="1" outlineLevel="1" ht="14.35" customHeight="1">
      <c r="C53" s="316">
        <f>'Financial Model'!C16</f>
        <v/>
      </c>
      <c r="D53" s="201" t="n"/>
      <c r="E53" s="201" t="n"/>
      <c r="F53" s="201" t="n"/>
      <c r="G53" s="675">
        <f>'Financial Model'!G16</f>
        <v/>
      </c>
      <c r="H53" s="675">
        <f>'Financial Model'!H16</f>
        <v/>
      </c>
      <c r="I53" s="675">
        <f>'Financial Model'!I16</f>
        <v/>
      </c>
      <c r="J53" s="675">
        <f>'Financial Model'!J16</f>
        <v/>
      </c>
      <c r="K53" s="675">
        <f>'Financial Model'!K16</f>
        <v/>
      </c>
      <c r="L53" s="675">
        <f>'Financial Model'!L16</f>
        <v/>
      </c>
      <c r="M53" s="675">
        <f>'Financial Model'!M16</f>
        <v/>
      </c>
      <c r="N53" s="675">
        <f>'Financial Model'!N16</f>
        <v/>
      </c>
      <c r="O53" s="675">
        <f>'Financial Model'!O16</f>
        <v/>
      </c>
      <c r="P53" s="675">
        <f>'Financial Model'!P16</f>
        <v/>
      </c>
      <c r="Q53" s="675">
        <f>'Financial Model'!Q16</f>
        <v/>
      </c>
      <c r="R53" s="675">
        <f>'Financial Model'!R16</f>
        <v/>
      </c>
      <c r="S53" s="675">
        <f>'Financial Model'!S16</f>
        <v/>
      </c>
      <c r="T53" s="839">
        <f>'Financial Model'!T16</f>
        <v/>
      </c>
    </row>
    <row r="54" hidden="1" outlineLevel="1" ht="14.35" customHeight="1">
      <c r="C54" s="320">
        <f>'Financial Model'!C17</f>
        <v/>
      </c>
      <c r="D54" s="321" t="n"/>
      <c r="E54" s="321" t="n"/>
      <c r="F54" s="321" t="n"/>
      <c r="G54" s="676">
        <f>'Financial Model'!G17</f>
        <v/>
      </c>
      <c r="H54" s="676">
        <f>'Financial Model'!H17</f>
        <v/>
      </c>
      <c r="I54" s="676">
        <f>'Financial Model'!I17</f>
        <v/>
      </c>
      <c r="J54" s="676">
        <f>'Financial Model'!J17</f>
        <v/>
      </c>
      <c r="K54" s="677">
        <f>'Financial Model'!K17</f>
        <v/>
      </c>
      <c r="L54" s="676">
        <f>'Financial Model'!L17</f>
        <v/>
      </c>
      <c r="M54" s="676">
        <f>'Financial Model'!M17</f>
        <v/>
      </c>
      <c r="N54" s="676">
        <f>'Financial Model'!N17</f>
        <v/>
      </c>
      <c r="O54" s="676">
        <f>'Financial Model'!O17</f>
        <v/>
      </c>
      <c r="P54" s="676">
        <f>'Financial Model'!P17</f>
        <v/>
      </c>
      <c r="Q54" s="676">
        <f>'Financial Model'!Q17</f>
        <v/>
      </c>
      <c r="R54" s="676">
        <f>'Financial Model'!R17</f>
        <v/>
      </c>
      <c r="S54" s="676">
        <f>'Financial Model'!S17</f>
        <v/>
      </c>
      <c r="T54" s="840">
        <f>'Financial Model'!T17</f>
        <v/>
      </c>
    </row>
    <row r="55" collapsed="1" ht="14.35" customHeight="1">
      <c r="C55" s="244">
        <f>'Financial Model'!C18</f>
        <v/>
      </c>
      <c r="D55" s="244" t="n"/>
      <c r="E55" s="244" t="n"/>
      <c r="F55" s="244" t="n"/>
      <c r="G55" s="725">
        <f>'Financial Model'!G18</f>
        <v/>
      </c>
      <c r="H55" s="725">
        <f>'Financial Model'!H18</f>
        <v/>
      </c>
      <c r="I55" s="725">
        <f>'Financial Model'!I18</f>
        <v/>
      </c>
      <c r="J55" s="725">
        <f>'Financial Model'!J18</f>
        <v/>
      </c>
      <c r="K55" s="841">
        <f>'Financial Model'!K18</f>
        <v/>
      </c>
      <c r="L55" s="725">
        <f>'Financial Model'!L18</f>
        <v/>
      </c>
      <c r="M55" s="725">
        <f>'Financial Model'!M18</f>
        <v/>
      </c>
      <c r="N55" s="725">
        <f>'Financial Model'!N18</f>
        <v/>
      </c>
      <c r="O55" s="725">
        <f>'Financial Model'!O18</f>
        <v/>
      </c>
      <c r="P55" s="725">
        <f>'Financial Model'!P18</f>
        <v/>
      </c>
      <c r="Q55" s="725">
        <f>'Financial Model'!Q18</f>
        <v/>
      </c>
      <c r="R55" s="725">
        <f>'Financial Model'!R18</f>
        <v/>
      </c>
      <c r="S55" s="725">
        <f>'Financial Model'!S18</f>
        <v/>
      </c>
      <c r="T55" s="842">
        <f>'Financial Model'!T18</f>
        <v/>
      </c>
    </row>
    <row r="56" ht="14.35" customHeight="1">
      <c r="C56" s="466">
        <f>'Financial Model'!C19</f>
        <v/>
      </c>
      <c r="D56" s="15" t="n"/>
      <c r="E56" s="15" t="n"/>
      <c r="F56" s="15" t="n"/>
      <c r="G56" s="311">
        <f>'Financial Model'!G19</f>
        <v/>
      </c>
      <c r="H56" s="311">
        <f>'Financial Model'!H19</f>
        <v/>
      </c>
      <c r="I56" s="311">
        <f>'Financial Model'!I19</f>
        <v/>
      </c>
      <c r="J56" s="311">
        <f>'Financial Model'!J19</f>
        <v/>
      </c>
      <c r="K56" s="407">
        <f>'Financial Model'!K19</f>
        <v/>
      </c>
      <c r="L56" s="311">
        <f>'Financial Model'!L19</f>
        <v/>
      </c>
      <c r="M56" s="311">
        <f>'Financial Model'!M19</f>
        <v/>
      </c>
      <c r="N56" s="311">
        <f>'Financial Model'!N19</f>
        <v/>
      </c>
      <c r="O56" s="311">
        <f>'Financial Model'!O19</f>
        <v/>
      </c>
      <c r="P56" s="311">
        <f>'Financial Model'!P19</f>
        <v/>
      </c>
      <c r="Q56" s="311">
        <f>'Financial Model'!Q19</f>
        <v/>
      </c>
      <c r="R56" s="311">
        <f>'Financial Model'!R19</f>
        <v/>
      </c>
      <c r="S56" s="311">
        <f>'Financial Model'!S19</f>
        <v/>
      </c>
      <c r="T56" s="537">
        <f>'Financial Model'!T19</f>
        <v/>
      </c>
    </row>
    <row r="57" ht="14.35" customHeight="1">
      <c r="C57" s="201" t="n"/>
      <c r="D57" s="201" t="n"/>
      <c r="E57" s="201" t="n"/>
      <c r="F57" s="201" t="n"/>
      <c r="G57" s="675" t="n"/>
      <c r="H57" s="675" t="n"/>
      <c r="I57" s="675" t="n"/>
      <c r="J57" s="675" t="n"/>
      <c r="K57" s="690" t="n"/>
      <c r="L57" s="675" t="n"/>
      <c r="M57" s="675" t="n"/>
      <c r="N57" s="675" t="n"/>
      <c r="O57" s="675" t="n"/>
      <c r="P57" s="675" t="n"/>
      <c r="Q57" s="675" t="n"/>
      <c r="R57" s="675" t="n"/>
      <c r="S57" s="675" t="n"/>
      <c r="T57" s="839" t="n"/>
    </row>
    <row r="58" hidden="1" outlineLevel="1" ht="14.35" customHeight="1">
      <c r="C58" s="316">
        <f>'Financial Model'!C21</f>
        <v/>
      </c>
      <c r="D58" s="201" t="n"/>
      <c r="E58" s="201" t="n"/>
      <c r="F58" s="201" t="n"/>
      <c r="G58" s="675">
        <f>'Financial Model'!G21</f>
        <v/>
      </c>
      <c r="H58" s="675">
        <f>'Financial Model'!H21</f>
        <v/>
      </c>
      <c r="I58" s="675">
        <f>'Financial Model'!I21</f>
        <v/>
      </c>
      <c r="J58" s="675">
        <f>'Financial Model'!J21</f>
        <v/>
      </c>
      <c r="K58" s="675">
        <f>'Financial Model'!K21</f>
        <v/>
      </c>
      <c r="L58" s="675">
        <f>'Financial Model'!L21</f>
        <v/>
      </c>
      <c r="M58" s="675">
        <f>'Financial Model'!M21</f>
        <v/>
      </c>
      <c r="N58" s="675">
        <f>'Financial Model'!N21</f>
        <v/>
      </c>
      <c r="O58" s="675">
        <f>'Financial Model'!O21</f>
        <v/>
      </c>
      <c r="P58" s="675">
        <f>'Financial Model'!P21</f>
        <v/>
      </c>
      <c r="Q58" s="675">
        <f>'Financial Model'!Q21</f>
        <v/>
      </c>
      <c r="R58" s="675">
        <f>'Financial Model'!R21</f>
        <v/>
      </c>
      <c r="S58" s="675">
        <f>'Financial Model'!S21</f>
        <v/>
      </c>
      <c r="T58" s="839">
        <f>'Financial Model'!T21</f>
        <v/>
      </c>
    </row>
    <row r="59" hidden="1" outlineLevel="1" ht="14.35" customHeight="1">
      <c r="C59" s="316">
        <f>'Financial Model'!C22</f>
        <v/>
      </c>
      <c r="D59" s="201" t="n"/>
      <c r="E59" s="201" t="n"/>
      <c r="F59" s="201" t="n"/>
      <c r="G59" s="686">
        <f>'Financial Model'!G22</f>
        <v/>
      </c>
      <c r="H59" s="686">
        <f>'Financial Model'!H22</f>
        <v/>
      </c>
      <c r="I59" s="686">
        <f>'Financial Model'!I22</f>
        <v/>
      </c>
      <c r="J59" s="686">
        <f>'Financial Model'!J22</f>
        <v/>
      </c>
      <c r="K59" s="686">
        <f>'Financial Model'!K22</f>
        <v/>
      </c>
      <c r="L59" s="686">
        <f>'Financial Model'!L22</f>
        <v/>
      </c>
      <c r="M59" s="686">
        <f>'Financial Model'!M22</f>
        <v/>
      </c>
      <c r="N59" s="686">
        <f>'Financial Model'!N22</f>
        <v/>
      </c>
      <c r="O59" s="686">
        <f>'Financial Model'!O22</f>
        <v/>
      </c>
      <c r="P59" s="686">
        <f>'Financial Model'!P22</f>
        <v/>
      </c>
      <c r="Q59" s="686">
        <f>'Financial Model'!Q22</f>
        <v/>
      </c>
      <c r="R59" s="686">
        <f>'Financial Model'!R22</f>
        <v/>
      </c>
      <c r="S59" s="686">
        <f>'Financial Model'!S22</f>
        <v/>
      </c>
      <c r="T59" s="843">
        <f>'Financial Model'!T22</f>
        <v/>
      </c>
    </row>
    <row r="60" hidden="1" outlineLevel="1" ht="14.35" customHeight="1">
      <c r="C60" s="320">
        <f>'Financial Model'!C23</f>
        <v/>
      </c>
      <c r="D60" s="321" t="n"/>
      <c r="E60" s="321" t="n"/>
      <c r="F60" s="321" t="n"/>
      <c r="G60" s="676">
        <f>'Financial Model'!G23</f>
        <v/>
      </c>
      <c r="H60" s="676">
        <f>'Financial Model'!H23</f>
        <v/>
      </c>
      <c r="I60" s="676">
        <f>'Financial Model'!I23</f>
        <v/>
      </c>
      <c r="J60" s="676">
        <f>'Financial Model'!J23</f>
        <v/>
      </c>
      <c r="K60" s="677">
        <f>'Financial Model'!K23</f>
        <v/>
      </c>
      <c r="L60" s="676">
        <f>'Financial Model'!L23</f>
        <v/>
      </c>
      <c r="M60" s="676">
        <f>'Financial Model'!M23</f>
        <v/>
      </c>
      <c r="N60" s="676">
        <f>'Financial Model'!N23</f>
        <v/>
      </c>
      <c r="O60" s="676">
        <f>'Financial Model'!O23</f>
        <v/>
      </c>
      <c r="P60" s="676">
        <f>'Financial Model'!P23</f>
        <v/>
      </c>
      <c r="Q60" s="676">
        <f>'Financial Model'!Q23</f>
        <v/>
      </c>
      <c r="R60" s="676">
        <f>'Financial Model'!R23</f>
        <v/>
      </c>
      <c r="S60" s="676">
        <f>'Financial Model'!S23</f>
        <v/>
      </c>
      <c r="T60" s="843">
        <f>'Financial Model'!T23</f>
        <v/>
      </c>
    </row>
    <row r="61" collapsed="1" ht="14.35" customHeight="1">
      <c r="C61" s="371">
        <f>'Financial Model'!C24</f>
        <v/>
      </c>
      <c r="D61" s="244" t="n"/>
      <c r="E61" s="244" t="n"/>
      <c r="F61" s="244" t="n"/>
      <c r="G61" s="725">
        <f>'Financial Model'!G24</f>
        <v/>
      </c>
      <c r="H61" s="725">
        <f>'Financial Model'!H24</f>
        <v/>
      </c>
      <c r="I61" s="725">
        <f>'Financial Model'!I24</f>
        <v/>
      </c>
      <c r="J61" s="725">
        <f>'Financial Model'!J24</f>
        <v/>
      </c>
      <c r="K61" s="841">
        <f>'Financial Model'!K24</f>
        <v/>
      </c>
      <c r="L61" s="725">
        <f>'Financial Model'!L24</f>
        <v/>
      </c>
      <c r="M61" s="725">
        <f>'Financial Model'!M24</f>
        <v/>
      </c>
      <c r="N61" s="725">
        <f>'Financial Model'!N24</f>
        <v/>
      </c>
      <c r="O61" s="725">
        <f>'Financial Model'!O24</f>
        <v/>
      </c>
      <c r="P61" s="725">
        <f>'Financial Model'!P24</f>
        <v/>
      </c>
      <c r="Q61" s="725">
        <f>'Financial Model'!Q24</f>
        <v/>
      </c>
      <c r="R61" s="725">
        <f>'Financial Model'!R24</f>
        <v/>
      </c>
      <c r="S61" s="725">
        <f>'Financial Model'!S24</f>
        <v/>
      </c>
      <c r="T61" s="842">
        <f>'Financial Model'!T24</f>
        <v/>
      </c>
    </row>
    <row r="62" ht="14.35" customHeight="1">
      <c r="C62" s="466">
        <f>'Financial Model'!C25</f>
        <v/>
      </c>
      <c r="D62" s="15" t="n"/>
      <c r="E62" s="15" t="n"/>
      <c r="F62" s="15" t="n"/>
      <c r="G62" s="311">
        <f>'Financial Model'!G25</f>
        <v/>
      </c>
      <c r="H62" s="311">
        <f>'Financial Model'!H25</f>
        <v/>
      </c>
      <c r="I62" s="311">
        <f>'Financial Model'!I25</f>
        <v/>
      </c>
      <c r="J62" s="311">
        <f>'Financial Model'!J25</f>
        <v/>
      </c>
      <c r="K62" s="407">
        <f>'Financial Model'!K25</f>
        <v/>
      </c>
      <c r="L62" s="311">
        <f>'Financial Model'!L25</f>
        <v/>
      </c>
      <c r="M62" s="311">
        <f>'Financial Model'!M25</f>
        <v/>
      </c>
      <c r="N62" s="311">
        <f>'Financial Model'!N25</f>
        <v/>
      </c>
      <c r="O62" s="311">
        <f>'Financial Model'!O25</f>
        <v/>
      </c>
      <c r="P62" s="311">
        <f>'Financial Model'!P25</f>
        <v/>
      </c>
      <c r="Q62" s="311">
        <f>'Financial Model'!Q25</f>
        <v/>
      </c>
      <c r="R62" s="311">
        <f>'Financial Model'!R25</f>
        <v/>
      </c>
      <c r="S62" s="311">
        <f>'Financial Model'!S25</f>
        <v/>
      </c>
      <c r="T62" s="537">
        <f>'Financial Model'!T25</f>
        <v/>
      </c>
    </row>
    <row r="63" ht="14.35" customHeight="1">
      <c r="C63" s="201" t="n"/>
      <c r="D63" s="201" t="n"/>
      <c r="E63" s="201" t="n"/>
      <c r="F63" s="201" t="n"/>
      <c r="G63" s="675" t="n"/>
      <c r="H63" s="675" t="n"/>
      <c r="I63" s="675" t="n"/>
      <c r="J63" s="675" t="n"/>
      <c r="K63" s="690" t="n"/>
      <c r="L63" s="675" t="n"/>
      <c r="M63" s="675" t="n"/>
      <c r="N63" s="675" t="n"/>
      <c r="O63" s="675" t="n"/>
      <c r="P63" s="675" t="n"/>
      <c r="Q63" s="675" t="n"/>
      <c r="R63" s="675" t="n"/>
      <c r="S63" s="675" t="n"/>
      <c r="T63" s="839" t="n"/>
    </row>
    <row r="64" ht="14.35" customHeight="1">
      <c r="C64" s="391">
        <f>'Financial Model'!C27</f>
        <v/>
      </c>
      <c r="D64" s="391" t="n"/>
      <c r="E64" s="391" t="n"/>
      <c r="F64" s="391" t="n"/>
      <c r="G64" s="844">
        <f>'Financial Model'!G27</f>
        <v/>
      </c>
      <c r="H64" s="844">
        <f>'Financial Model'!H27</f>
        <v/>
      </c>
      <c r="I64" s="844">
        <f>'Financial Model'!I27</f>
        <v/>
      </c>
      <c r="J64" s="844">
        <f>'Financial Model'!J27</f>
        <v/>
      </c>
      <c r="K64" s="845">
        <f>'Financial Model'!K27</f>
        <v/>
      </c>
      <c r="L64" s="844">
        <f>'Financial Model'!L27</f>
        <v/>
      </c>
      <c r="M64" s="844">
        <f>'Financial Model'!M27</f>
        <v/>
      </c>
      <c r="N64" s="844">
        <f>'Financial Model'!N27</f>
        <v/>
      </c>
      <c r="O64" s="844">
        <f>'Financial Model'!O27</f>
        <v/>
      </c>
      <c r="P64" s="844">
        <f>'Financial Model'!P27</f>
        <v/>
      </c>
      <c r="Q64" s="844">
        <f>'Financial Model'!Q27</f>
        <v/>
      </c>
      <c r="R64" s="844">
        <f>'Financial Model'!R27</f>
        <v/>
      </c>
      <c r="S64" s="844">
        <f>'Financial Model'!S27</f>
        <v/>
      </c>
      <c r="T64" s="846">
        <f>'Financial Model'!T27</f>
        <v/>
      </c>
    </row>
    <row r="65" ht="14.35" customHeight="1">
      <c r="C65" s="466">
        <f>'Financial Model'!C28</f>
        <v/>
      </c>
      <c r="D65" s="15" t="n"/>
      <c r="E65" s="15" t="n"/>
      <c r="F65" s="15" t="n"/>
      <c r="G65" s="311">
        <f>'Financial Model'!G28</f>
        <v/>
      </c>
      <c r="H65" s="311">
        <f>'Financial Model'!H28</f>
        <v/>
      </c>
      <c r="I65" s="311">
        <f>'Financial Model'!I28</f>
        <v/>
      </c>
      <c r="J65" s="311">
        <f>'Financial Model'!J28</f>
        <v/>
      </c>
      <c r="K65" s="407">
        <f>'Financial Model'!K28</f>
        <v/>
      </c>
      <c r="L65" s="311">
        <f>'Financial Model'!L28</f>
        <v/>
      </c>
      <c r="M65" s="311">
        <f>'Financial Model'!M28</f>
        <v/>
      </c>
      <c r="N65" s="311">
        <f>'Financial Model'!N28</f>
        <v/>
      </c>
      <c r="O65" s="311">
        <f>'Financial Model'!O28</f>
        <v/>
      </c>
      <c r="P65" s="311">
        <f>'Financial Model'!P28</f>
        <v/>
      </c>
      <c r="Q65" s="311">
        <f>'Financial Model'!Q28</f>
        <v/>
      </c>
      <c r="R65" s="311">
        <f>'Financial Model'!R28</f>
        <v/>
      </c>
      <c r="S65" s="311">
        <f>'Financial Model'!S28</f>
        <v/>
      </c>
      <c r="T65" s="537">
        <f>'Financial Model'!T28</f>
        <v/>
      </c>
    </row>
    <row r="66" ht="14.35" customHeight="1">
      <c r="C66" s="201" t="n"/>
      <c r="D66" s="201" t="n"/>
      <c r="E66" s="201" t="n"/>
      <c r="F66" s="201" t="n"/>
      <c r="G66" s="675" t="n"/>
      <c r="H66" s="675" t="n"/>
      <c r="I66" s="675" t="n"/>
      <c r="J66" s="675" t="n"/>
      <c r="K66" s="690" t="n"/>
      <c r="L66" s="675" t="n"/>
      <c r="M66" s="675" t="n"/>
      <c r="N66" s="675" t="n"/>
      <c r="O66" s="675" t="n"/>
      <c r="P66" s="675" t="n"/>
      <c r="Q66" s="675" t="n"/>
      <c r="R66" s="675" t="n"/>
      <c r="S66" s="675" t="n"/>
      <c r="T66" s="839" t="n"/>
    </row>
    <row r="67" ht="14.35" customHeight="1">
      <c r="C67" s="317">
        <f>'Financial Model'!C30</f>
        <v/>
      </c>
      <c r="D67" s="201" t="n"/>
      <c r="E67" s="201" t="n"/>
      <c r="F67" s="201" t="n"/>
      <c r="G67" s="675">
        <f>'Financial Model'!G30</f>
        <v/>
      </c>
      <c r="H67" s="675">
        <f>'Financial Model'!H30</f>
        <v/>
      </c>
      <c r="I67" s="675">
        <f>'Financial Model'!I30</f>
        <v/>
      </c>
      <c r="J67" s="675">
        <f>'Financial Model'!J30</f>
        <v/>
      </c>
      <c r="K67" s="690">
        <f>'Financial Model'!K30</f>
        <v/>
      </c>
      <c r="L67" s="675">
        <f>'Financial Model'!L30</f>
        <v/>
      </c>
      <c r="M67" s="675">
        <f>'Financial Model'!M30</f>
        <v/>
      </c>
      <c r="N67" s="675">
        <f>'Financial Model'!N30</f>
        <v/>
      </c>
      <c r="O67" s="675">
        <f>'Financial Model'!O30</f>
        <v/>
      </c>
      <c r="P67" s="675">
        <f>'Financial Model'!P30</f>
        <v/>
      </c>
      <c r="Q67" s="675">
        <f>'Financial Model'!Q30</f>
        <v/>
      </c>
      <c r="R67" s="675">
        <f>'Financial Model'!R30</f>
        <v/>
      </c>
      <c r="S67" s="675">
        <f>'Financial Model'!S30</f>
        <v/>
      </c>
      <c r="T67" s="839">
        <f>'Financial Model'!T30</f>
        <v/>
      </c>
    </row>
    <row r="68" ht="14.35" customHeight="1">
      <c r="C68" s="317">
        <f>'Financial Model'!C31</f>
        <v/>
      </c>
      <c r="D68" s="201" t="n"/>
      <c r="E68" s="201" t="n"/>
      <c r="F68" s="201" t="n"/>
      <c r="G68" s="686">
        <f>'Financial Model'!G31</f>
        <v/>
      </c>
      <c r="H68" s="686">
        <f>'Financial Model'!H31</f>
        <v/>
      </c>
      <c r="I68" s="686">
        <f>'Financial Model'!I31</f>
        <v/>
      </c>
      <c r="J68" s="686">
        <f>'Financial Model'!J31</f>
        <v/>
      </c>
      <c r="K68" s="691">
        <f>'Financial Model'!K31</f>
        <v/>
      </c>
      <c r="L68" s="686">
        <f>'Financial Model'!L31</f>
        <v/>
      </c>
      <c r="M68" s="686">
        <f>'Financial Model'!M31</f>
        <v/>
      </c>
      <c r="N68" s="686">
        <f>'Financial Model'!N31</f>
        <v/>
      </c>
      <c r="O68" s="686">
        <f>'Financial Model'!O31</f>
        <v/>
      </c>
      <c r="P68" s="686">
        <f>'Financial Model'!P31</f>
        <v/>
      </c>
      <c r="Q68" s="686">
        <f>'Financial Model'!Q31</f>
        <v/>
      </c>
      <c r="R68" s="686">
        <f>'Financial Model'!R31</f>
        <v/>
      </c>
      <c r="S68" s="686">
        <f>'Financial Model'!S31</f>
        <v/>
      </c>
      <c r="T68" s="843">
        <f>'Financial Model'!T31</f>
        <v/>
      </c>
    </row>
    <row r="69" ht="14.35" customHeight="1">
      <c r="C69" s="447">
        <f>'Financial Model'!C32</f>
        <v/>
      </c>
      <c r="D69" s="447" t="n"/>
      <c r="E69" s="447" t="n"/>
      <c r="F69" s="447" t="n"/>
      <c r="G69" s="847">
        <f>'Financial Model'!G32</f>
        <v/>
      </c>
      <c r="H69" s="847">
        <f>'Financial Model'!H32</f>
        <v/>
      </c>
      <c r="I69" s="847">
        <f>'Financial Model'!I32</f>
        <v/>
      </c>
      <c r="J69" s="847">
        <f>'Financial Model'!J32</f>
        <v/>
      </c>
      <c r="K69" s="848">
        <f>'Financial Model'!K32</f>
        <v/>
      </c>
      <c r="L69" s="847">
        <f>'Financial Model'!L32</f>
        <v/>
      </c>
      <c r="M69" s="847">
        <f>'Financial Model'!M32</f>
        <v/>
      </c>
      <c r="N69" s="847">
        <f>'Financial Model'!N32</f>
        <v/>
      </c>
      <c r="O69" s="847">
        <f>'Financial Model'!O32</f>
        <v/>
      </c>
      <c r="P69" s="847">
        <f>'Financial Model'!P32</f>
        <v/>
      </c>
      <c r="Q69" s="847">
        <f>'Financial Model'!Q32</f>
        <v/>
      </c>
      <c r="R69" s="847">
        <f>'Financial Model'!R32</f>
        <v/>
      </c>
      <c r="S69" s="847">
        <f>'Financial Model'!S32</f>
        <v/>
      </c>
      <c r="T69" s="849">
        <f>'Financial Model'!T32</f>
        <v/>
      </c>
    </row>
    <row r="70" ht="14.35" customHeight="1">
      <c r="C70" s="230" t="n"/>
      <c r="D70" s="201" t="n"/>
      <c r="E70" s="201" t="n"/>
      <c r="F70" s="201" t="n"/>
      <c r="G70" s="675" t="n"/>
      <c r="H70" s="675" t="n"/>
      <c r="I70" s="675" t="n"/>
      <c r="J70" s="675" t="n"/>
      <c r="K70" s="690" t="n"/>
      <c r="L70" s="675" t="n"/>
      <c r="M70" s="675" t="n"/>
      <c r="N70" s="675" t="n"/>
      <c r="O70" s="675" t="n"/>
      <c r="P70" s="675" t="n"/>
      <c r="Q70" s="675" t="n"/>
      <c r="R70" s="675" t="n"/>
      <c r="S70" s="675" t="n"/>
      <c r="T70" s="839" t="n"/>
    </row>
    <row r="71" ht="14.35" customHeight="1">
      <c r="C71" s="316">
        <f>'Financial Model'!C34</f>
        <v/>
      </c>
      <c r="D71" s="201" t="n"/>
      <c r="E71" s="201" t="n"/>
      <c r="F71" s="201" t="n"/>
      <c r="G71" s="675">
        <f>'Financial Model'!G34</f>
        <v/>
      </c>
      <c r="H71" s="675">
        <f>'Financial Model'!H34</f>
        <v/>
      </c>
      <c r="I71" s="675">
        <f>'Financial Model'!I34</f>
        <v/>
      </c>
      <c r="J71" s="675">
        <f>'Financial Model'!J34</f>
        <v/>
      </c>
      <c r="K71" s="700">
        <f>K129</f>
        <v/>
      </c>
      <c r="L71" s="700">
        <f>L129</f>
        <v/>
      </c>
      <c r="M71" s="700">
        <f>M129</f>
        <v/>
      </c>
      <c r="N71" s="700">
        <f>N129</f>
        <v/>
      </c>
      <c r="O71" s="700">
        <f>O129</f>
        <v/>
      </c>
      <c r="P71" s="700">
        <f>P129</f>
        <v/>
      </c>
      <c r="Q71" s="700">
        <f>Q129</f>
        <v/>
      </c>
      <c r="R71" s="700">
        <f>R129</f>
        <v/>
      </c>
      <c r="S71" s="700">
        <f>S129</f>
        <v/>
      </c>
      <c r="T71" s="850">
        <f>T129</f>
        <v/>
      </c>
    </row>
    <row r="72" ht="14.35" customHeight="1">
      <c r="C72" s="316">
        <f>'Financial Model'!C35</f>
        <v/>
      </c>
      <c r="D72" s="201" t="n"/>
      <c r="E72" s="201" t="n"/>
      <c r="F72" s="201" t="n"/>
      <c r="G72" s="686">
        <f>'Financial Model'!G35</f>
        <v/>
      </c>
      <c r="H72" s="686">
        <f>'Financial Model'!H35</f>
        <v/>
      </c>
      <c r="I72" s="686">
        <f>'Financial Model'!I35</f>
        <v/>
      </c>
      <c r="J72" s="686">
        <f>'Financial Model'!J35</f>
        <v/>
      </c>
      <c r="K72" s="686">
        <f>'Financial Model'!K35</f>
        <v/>
      </c>
      <c r="L72" s="686">
        <f>'Financial Model'!L35</f>
        <v/>
      </c>
      <c r="M72" s="686">
        <f>'Financial Model'!M35</f>
        <v/>
      </c>
      <c r="N72" s="686">
        <f>'Financial Model'!N35</f>
        <v/>
      </c>
      <c r="O72" s="686">
        <f>'Financial Model'!O35</f>
        <v/>
      </c>
      <c r="P72" s="686">
        <f>'Financial Model'!P35</f>
        <v/>
      </c>
      <c r="Q72" s="686">
        <f>'Financial Model'!Q35</f>
        <v/>
      </c>
      <c r="R72" s="686">
        <f>'Financial Model'!R35</f>
        <v/>
      </c>
      <c r="S72" s="686">
        <f>'Financial Model'!S35</f>
        <v/>
      </c>
      <c r="T72" s="843">
        <f>'Financial Model'!T35</f>
        <v/>
      </c>
    </row>
    <row r="73" ht="14.35" customHeight="1">
      <c r="C73" s="447">
        <f>'Financial Model'!C36</f>
        <v/>
      </c>
      <c r="D73" s="447" t="n"/>
      <c r="E73" s="447" t="n"/>
      <c r="F73" s="447" t="n"/>
      <c r="G73" s="847">
        <f>'Financial Model'!G36</f>
        <v/>
      </c>
      <c r="H73" s="847">
        <f>'Financial Model'!H36</f>
        <v/>
      </c>
      <c r="I73" s="847">
        <f>'Financial Model'!I36</f>
        <v/>
      </c>
      <c r="J73" s="847">
        <f>'Financial Model'!J36</f>
        <v/>
      </c>
      <c r="K73" s="711">
        <f>K69-SUM(K71:K72)</f>
        <v/>
      </c>
      <c r="L73" s="711">
        <f>L69-SUM(L71:L72)</f>
        <v/>
      </c>
      <c r="M73" s="711">
        <f>M69-SUM(M71:M72)</f>
        <v/>
      </c>
      <c r="N73" s="711">
        <f>N69-SUM(N71:N72)</f>
        <v/>
      </c>
      <c r="O73" s="711">
        <f>O69-SUM(O71:O72)</f>
        <v/>
      </c>
      <c r="P73" s="711">
        <f>P69-SUM(P71:P72)</f>
        <v/>
      </c>
      <c r="Q73" s="711">
        <f>Q69-SUM(Q71:Q72)</f>
        <v/>
      </c>
      <c r="R73" s="711">
        <f>R69-SUM(R71:R72)</f>
        <v/>
      </c>
      <c r="S73" s="711">
        <f>S69-SUM(S71:S72)</f>
        <v/>
      </c>
      <c r="T73" s="851">
        <f>T69-SUM(T71:T72)</f>
        <v/>
      </c>
    </row>
    <row r="74" ht="14.35" customHeight="1">
      <c r="C74" s="201" t="n"/>
      <c r="D74" s="201" t="n"/>
      <c r="E74" s="201" t="n"/>
      <c r="F74" s="201" t="n"/>
      <c r="G74" s="675" t="n"/>
      <c r="H74" s="675" t="n"/>
      <c r="I74" s="675" t="n"/>
      <c r="J74" s="675" t="n"/>
      <c r="K74" s="690" t="n"/>
      <c r="L74" s="675" t="n"/>
      <c r="M74" s="675" t="n"/>
      <c r="N74" s="675" t="n"/>
      <c r="O74" s="675" t="n"/>
      <c r="P74" s="675" t="n"/>
      <c r="Q74" s="675" t="n"/>
      <c r="R74" s="675" t="n"/>
      <c r="S74" s="675" t="n"/>
      <c r="T74" s="839" t="n"/>
    </row>
    <row r="75" ht="14.35" customHeight="1">
      <c r="C75" s="257">
        <f>'Financial Model'!C38</f>
        <v/>
      </c>
      <c r="G75" s="628">
        <f>'Financial Model'!G38</f>
        <v/>
      </c>
      <c r="H75" s="628">
        <f>'Financial Model'!H38</f>
        <v/>
      </c>
      <c r="I75" s="628">
        <f>'Financial Model'!I38</f>
        <v/>
      </c>
      <c r="J75" s="628">
        <f>'Financial Model'!J38</f>
        <v/>
      </c>
      <c r="K75" s="583">
        <f>K76*K73</f>
        <v/>
      </c>
      <c r="L75" s="628">
        <f>L76*L73</f>
        <v/>
      </c>
      <c r="M75" s="628">
        <f>M76*M73</f>
        <v/>
      </c>
      <c r="N75" s="628">
        <f>N76*N73</f>
        <v/>
      </c>
      <c r="O75" s="628">
        <f>O76*O73</f>
        <v/>
      </c>
      <c r="P75" s="628">
        <f>P76*P73</f>
        <v/>
      </c>
      <c r="Q75" s="628">
        <f>Q76*Q73</f>
        <v/>
      </c>
      <c r="R75" s="628">
        <f>R76*R73</f>
        <v/>
      </c>
      <c r="S75" s="628">
        <f>S76*S73</f>
        <v/>
      </c>
      <c r="T75" s="852">
        <f>T76*T73</f>
        <v/>
      </c>
    </row>
    <row r="76" ht="14.35" customHeight="1">
      <c r="C76" s="466">
        <f>'Financial Model'!C39</f>
        <v/>
      </c>
      <c r="D76" s="15" t="n"/>
      <c r="E76" s="15" t="n"/>
      <c r="F76" s="15" t="n"/>
      <c r="G76" s="311">
        <f>'Financial Model'!G39</f>
        <v/>
      </c>
      <c r="H76" s="311">
        <f>'Financial Model'!H39</f>
        <v/>
      </c>
      <c r="I76" s="311">
        <f>'Financial Model'!I39</f>
        <v/>
      </c>
      <c r="J76" s="311">
        <f>'Financial Model'!J39</f>
        <v/>
      </c>
      <c r="K76" s="407">
        <f>'Financial Model'!K39</f>
        <v/>
      </c>
      <c r="L76" s="311">
        <f>'Financial Model'!L39</f>
        <v/>
      </c>
      <c r="M76" s="311">
        <f>'Financial Model'!M39</f>
        <v/>
      </c>
      <c r="N76" s="311">
        <f>'Financial Model'!N39</f>
        <v/>
      </c>
      <c r="O76" s="311">
        <f>'Financial Model'!O39</f>
        <v/>
      </c>
      <c r="P76" s="311">
        <f>'Financial Model'!P39</f>
        <v/>
      </c>
      <c r="Q76" s="311">
        <f>'Financial Model'!Q39</f>
        <v/>
      </c>
      <c r="R76" s="311">
        <f>'Financial Model'!R39</f>
        <v/>
      </c>
      <c r="S76" s="311">
        <f>'Financial Model'!S39</f>
        <v/>
      </c>
      <c r="T76" s="537">
        <f>'Financial Model'!T39</f>
        <v/>
      </c>
    </row>
    <row r="77" ht="14.35" customHeight="1">
      <c r="C77" s="573" t="n"/>
      <c r="D77" s="15" t="n"/>
      <c r="E77" s="15" t="n"/>
      <c r="F77" s="15" t="n"/>
      <c r="G77" s="853" t="n"/>
      <c r="H77" s="853" t="n"/>
      <c r="I77" s="853" t="n"/>
      <c r="J77" s="853" t="n"/>
      <c r="K77" s="853" t="n"/>
      <c r="L77" s="853" t="n"/>
      <c r="M77" s="853" t="n"/>
      <c r="N77" s="853" t="n"/>
      <c r="O77" s="853" t="n"/>
      <c r="P77" s="853" t="n"/>
      <c r="Q77" s="853" t="n"/>
      <c r="R77" s="853" t="n"/>
      <c r="S77" s="853" t="n"/>
      <c r="T77" s="853" t="n"/>
    </row>
    <row r="78" ht="14.35" customHeight="1">
      <c r="C78" s="579">
        <f>'Financial Model'!C41</f>
        <v/>
      </c>
      <c r="D78" s="579" t="n"/>
      <c r="E78" s="579" t="n"/>
      <c r="F78" s="579" t="n"/>
      <c r="G78" s="854">
        <f>'Financial Model'!G41</f>
        <v/>
      </c>
      <c r="H78" s="854">
        <f>'Financial Model'!H41</f>
        <v/>
      </c>
      <c r="I78" s="854">
        <f>'Financial Model'!I41</f>
        <v/>
      </c>
      <c r="J78" s="854">
        <f>'Financial Model'!J41</f>
        <v/>
      </c>
      <c r="K78" s="584">
        <f>K73-K75</f>
        <v/>
      </c>
      <c r="L78" s="854">
        <f>L73-L75</f>
        <v/>
      </c>
      <c r="M78" s="854">
        <f>M73-M75</f>
        <v/>
      </c>
      <c r="N78" s="854">
        <f>N73-N75</f>
        <v/>
      </c>
      <c r="O78" s="854">
        <f>O73-O75</f>
        <v/>
      </c>
      <c r="P78" s="854">
        <f>P73-P75</f>
        <v/>
      </c>
      <c r="Q78" s="854">
        <f>Q73-Q75</f>
        <v/>
      </c>
      <c r="R78" s="854">
        <f>R73-R75</f>
        <v/>
      </c>
      <c r="S78" s="854">
        <f>S73-S75</f>
        <v/>
      </c>
      <c r="T78" s="855">
        <f>T73-T75</f>
        <v/>
      </c>
    </row>
    <row r="79" ht="14.35" customHeight="1">
      <c r="C79" s="465">
        <f>'Financial Model'!C42</f>
        <v/>
      </c>
      <c r="D79" s="307" t="n"/>
      <c r="E79" s="307" t="n"/>
      <c r="F79" s="307" t="n"/>
      <c r="G79" s="308">
        <f>'Financial Model'!G42</f>
        <v/>
      </c>
      <c r="H79" s="308">
        <f>'Financial Model'!H42</f>
        <v/>
      </c>
      <c r="I79" s="308">
        <f>'Financial Model'!I42</f>
        <v/>
      </c>
      <c r="J79" s="308">
        <f>'Financial Model'!J42</f>
        <v/>
      </c>
      <c r="K79" s="585">
        <f>K78/K46</f>
        <v/>
      </c>
      <c r="L79" s="308">
        <f>L78/L46</f>
        <v/>
      </c>
      <c r="M79" s="308">
        <f>M78/M46</f>
        <v/>
      </c>
      <c r="N79" s="308">
        <f>N78/N46</f>
        <v/>
      </c>
      <c r="O79" s="308">
        <f>O78/O46</f>
        <v/>
      </c>
      <c r="P79" s="308">
        <f>P78/P46</f>
        <v/>
      </c>
      <c r="Q79" s="308">
        <f>Q78/Q46</f>
        <v/>
      </c>
      <c r="R79" s="308">
        <f>R78/R46</f>
        <v/>
      </c>
      <c r="S79" s="308">
        <f>S78/S46</f>
        <v/>
      </c>
      <c r="T79" s="582">
        <f>T78/T46</f>
        <v/>
      </c>
    </row>
    <row r="80" ht="14.35" customHeight="1">
      <c r="C80" s="466" t="n"/>
      <c r="D80" s="15" t="n"/>
      <c r="E80" s="15" t="n"/>
      <c r="F80" s="15" t="n"/>
      <c r="G80" s="311" t="n"/>
      <c r="H80" s="311" t="n"/>
      <c r="I80" s="311" t="n"/>
      <c r="J80" s="311" t="n"/>
      <c r="K80" s="407" t="n"/>
      <c r="L80" s="311" t="n"/>
      <c r="M80" s="311" t="n"/>
      <c r="N80" s="311" t="n"/>
      <c r="O80" s="311" t="n"/>
      <c r="P80" s="311" t="n"/>
      <c r="Q80" s="311" t="n"/>
      <c r="R80" s="311" t="n"/>
      <c r="S80" s="311" t="n"/>
      <c r="T80" s="311" t="n"/>
    </row>
    <row r="81" ht="14.35" customHeight="1">
      <c r="C81" s="568" t="inlineStr">
        <is>
          <t>(+) D&amp;A</t>
        </is>
      </c>
      <c r="D81" s="15" t="n"/>
      <c r="E81" s="15" t="n"/>
      <c r="F81" s="15" t="n"/>
      <c r="G81" s="682">
        <f>SUM(G67:G68)</f>
        <v/>
      </c>
      <c r="H81" s="682">
        <f>SUM(H67:H68)</f>
        <v/>
      </c>
      <c r="I81" s="682">
        <f>SUM(I67:I68)</f>
        <v/>
      </c>
      <c r="J81" s="856">
        <f>SUM(J67:J68)</f>
        <v/>
      </c>
      <c r="K81" s="682">
        <f>SUM(K67:K68)</f>
        <v/>
      </c>
      <c r="L81" s="682">
        <f>SUM(L67:L68)</f>
        <v/>
      </c>
      <c r="M81" s="682">
        <f>SUM(M67:M68)</f>
        <v/>
      </c>
      <c r="N81" s="682">
        <f>SUM(N67:N68)</f>
        <v/>
      </c>
      <c r="O81" s="682">
        <f>SUM(O67:O68)</f>
        <v/>
      </c>
      <c r="P81" s="682">
        <f>SUM(P67:P68)</f>
        <v/>
      </c>
      <c r="Q81" s="682">
        <f>SUM(Q67:Q68)</f>
        <v/>
      </c>
      <c r="R81" s="682">
        <f>SUM(R67:R68)</f>
        <v/>
      </c>
      <c r="S81" s="682">
        <f>SUM(S67:S68)</f>
        <v/>
      </c>
      <c r="T81" s="682">
        <f>SUM(T67:T68)</f>
        <v/>
      </c>
    </row>
    <row r="82" ht="14.35" customHeight="1">
      <c r="C82" s="568" t="inlineStr">
        <is>
          <t>(-) Change in NWC</t>
        </is>
      </c>
      <c r="D82" s="15" t="n"/>
      <c r="E82" s="15" t="n"/>
      <c r="F82" s="15" t="n"/>
      <c r="G82" s="686">
        <f>'Financial Model'!G114</f>
        <v/>
      </c>
      <c r="H82" s="686">
        <f>'Financial Model'!H114</f>
        <v/>
      </c>
      <c r="I82" s="686">
        <f>'Financial Model'!I114</f>
        <v/>
      </c>
      <c r="J82" s="857">
        <f>'Financial Model'!J114</f>
        <v/>
      </c>
      <c r="K82" s="686">
        <f>'Financial Model'!K114</f>
        <v/>
      </c>
      <c r="L82" s="686">
        <f>'Financial Model'!L114</f>
        <v/>
      </c>
      <c r="M82" s="686">
        <f>'Financial Model'!M114</f>
        <v/>
      </c>
      <c r="N82" s="686">
        <f>'Financial Model'!N114</f>
        <v/>
      </c>
      <c r="O82" s="686">
        <f>'Financial Model'!O114</f>
        <v/>
      </c>
      <c r="P82" s="686">
        <f>'Financial Model'!P114</f>
        <v/>
      </c>
      <c r="Q82" s="686">
        <f>'Financial Model'!Q114</f>
        <v/>
      </c>
      <c r="R82" s="686">
        <f>'Financial Model'!R114</f>
        <v/>
      </c>
      <c r="S82" s="686">
        <f>'Financial Model'!S114</f>
        <v/>
      </c>
      <c r="T82" s="686">
        <f>'Financial Model'!T114</f>
        <v/>
      </c>
    </row>
    <row r="83" ht="14.35" customHeight="1">
      <c r="C83" s="568" t="inlineStr">
        <is>
          <t>(-) Capex</t>
        </is>
      </c>
      <c r="D83" s="15" t="n"/>
      <c r="E83" s="15" t="n"/>
      <c r="F83" s="15" t="n"/>
      <c r="G83" s="686">
        <f>'Financial Model'!G121</f>
        <v/>
      </c>
      <c r="H83" s="686">
        <f>'Financial Model'!H121</f>
        <v/>
      </c>
      <c r="I83" s="686">
        <f>'Financial Model'!I121</f>
        <v/>
      </c>
      <c r="J83" s="857">
        <f>'Financial Model'!J121</f>
        <v/>
      </c>
      <c r="K83" s="686">
        <f>'Financial Model'!K118+'Financial Model'!K120</f>
        <v/>
      </c>
      <c r="L83" s="686">
        <f>'Financial Model'!L118+'Financial Model'!L120</f>
        <v/>
      </c>
      <c r="M83" s="686">
        <f>'Financial Model'!M118+'Financial Model'!M120</f>
        <v/>
      </c>
      <c r="N83" s="686">
        <f>'Financial Model'!N118+'Financial Model'!N120</f>
        <v/>
      </c>
      <c r="O83" s="686">
        <f>'Financial Model'!O118+'Financial Model'!O120</f>
        <v/>
      </c>
      <c r="P83" s="686">
        <f>'Financial Model'!P118+'Financial Model'!P120</f>
        <v/>
      </c>
      <c r="Q83" s="686">
        <f>'Financial Model'!Q118+'Financial Model'!Q120</f>
        <v/>
      </c>
      <c r="R83" s="686">
        <f>'Financial Model'!R118+'Financial Model'!R120</f>
        <v/>
      </c>
      <c r="S83" s="686">
        <f>'Financial Model'!S118+'Financial Model'!S120</f>
        <v/>
      </c>
      <c r="T83" s="686">
        <f>'Financial Model'!T118+'Financial Model'!T120</f>
        <v/>
      </c>
    </row>
    <row r="84" ht="14.35" customHeight="1">
      <c r="C84" s="569" t="inlineStr">
        <is>
          <t>Cash Flow Available for Debt Service</t>
        </is>
      </c>
      <c r="D84" s="570" t="n"/>
      <c r="E84" s="570" t="n"/>
      <c r="F84" s="570" t="n"/>
      <c r="G84" s="560">
        <f>SUM(G81:G83)</f>
        <v/>
      </c>
      <c r="H84" s="560">
        <f>SUM(H81:H83)</f>
        <v/>
      </c>
      <c r="I84" s="560">
        <f>SUM(I81:I83)</f>
        <v/>
      </c>
      <c r="J84" s="575">
        <f>SUM(J81:J83)</f>
        <v/>
      </c>
      <c r="K84" s="560">
        <f>SUM(K81:K83)</f>
        <v/>
      </c>
      <c r="L84" s="560">
        <f>SUM(L81:L83)</f>
        <v/>
      </c>
      <c r="M84" s="560">
        <f>SUM(M81:M83)</f>
        <v/>
      </c>
      <c r="N84" s="560">
        <f>SUM(N81:N83)</f>
        <v/>
      </c>
      <c r="O84" s="560">
        <f>SUM(O81:O83)</f>
        <v/>
      </c>
      <c r="P84" s="560">
        <f>SUM(P81:P83)</f>
        <v/>
      </c>
      <c r="Q84" s="560">
        <f>SUM(Q81:Q83)</f>
        <v/>
      </c>
      <c r="R84" s="560">
        <f>SUM(R81:R83)</f>
        <v/>
      </c>
      <c r="S84" s="560">
        <f>SUM(S81:S83)</f>
        <v/>
      </c>
      <c r="T84" s="560">
        <f>SUM(T81:T83)</f>
        <v/>
      </c>
    </row>
    <row r="85">
      <c r="C85" s="444" t="n"/>
      <c r="D85" s="15" t="n"/>
      <c r="E85" s="15" t="n"/>
      <c r="F85" s="15" t="n"/>
      <c r="G85" s="311" t="n"/>
      <c r="H85" s="311" t="n"/>
      <c r="I85" s="311" t="n"/>
      <c r="J85" s="311" t="n"/>
      <c r="K85" s="407" t="n"/>
      <c r="L85" s="311" t="n"/>
      <c r="M85" s="311" t="n"/>
      <c r="N85" s="311" t="n"/>
      <c r="O85" s="311" t="n"/>
      <c r="P85" s="311" t="n"/>
      <c r="Q85" s="311" t="n"/>
      <c r="R85" s="311" t="n"/>
      <c r="S85" s="311" t="n"/>
      <c r="T85" s="311" t="n"/>
    </row>
    <row r="86">
      <c r="C86" s="444" t="n"/>
      <c r="D86" s="15" t="n"/>
      <c r="E86" s="15" t="n"/>
      <c r="F86" s="15" t="n"/>
      <c r="G86" s="311" t="n"/>
      <c r="H86" s="311" t="n"/>
      <c r="I86" s="311" t="n"/>
      <c r="J86" s="311" t="n"/>
      <c r="K86" s="311" t="n"/>
      <c r="L86" s="311" t="n"/>
      <c r="M86" s="311" t="n"/>
      <c r="N86" s="311" t="n"/>
      <c r="O86" s="311" t="n"/>
      <c r="P86" s="311" t="n"/>
      <c r="Q86" s="311" t="n"/>
      <c r="R86" s="311" t="n"/>
      <c r="S86" s="311" t="n"/>
      <c r="T86" s="311" t="n"/>
    </row>
    <row r="87">
      <c r="C87" s="444" t="n"/>
      <c r="D87" s="15" t="n"/>
      <c r="E87" s="15" t="n"/>
      <c r="F87" s="15" t="n"/>
      <c r="G87" s="311" t="n"/>
      <c r="H87" s="311" t="n"/>
      <c r="I87" s="311" t="n"/>
      <c r="J87" s="311" t="n"/>
      <c r="K87" s="407" t="n"/>
      <c r="L87" s="311" t="n"/>
      <c r="M87" s="311" t="n"/>
      <c r="N87" s="311" t="n"/>
      <c r="O87" s="311" t="n"/>
      <c r="P87" s="311" t="n"/>
      <c r="Q87" s="311" t="n"/>
      <c r="R87" s="311" t="n"/>
      <c r="S87" s="311" t="n"/>
      <c r="T87" s="311" t="n"/>
    </row>
    <row r="88">
      <c r="C88" s="210">
        <f>'Financial Model'!C3</f>
        <v/>
      </c>
      <c r="D88" s="54" t="n"/>
      <c r="E88" s="54" t="n"/>
      <c r="F88" s="54" t="n"/>
      <c r="G88" s="54" t="n"/>
      <c r="H88" s="54" t="n"/>
      <c r="I88" s="54" t="n"/>
      <c r="J88" s="55" t="n"/>
      <c r="K88" s="54" t="n"/>
      <c r="L88" s="54" t="n"/>
      <c r="M88" s="54" t="n"/>
      <c r="N88" s="54" t="n"/>
      <c r="O88" s="54" t="n"/>
      <c r="P88" s="54" t="n"/>
      <c r="Q88" s="54" t="n"/>
      <c r="R88" s="54" t="n"/>
      <c r="S88" s="54" t="n"/>
      <c r="T88" s="55" t="n"/>
    </row>
    <row r="89">
      <c r="A89" s="216" t="inlineStr">
        <is>
          <t>X</t>
        </is>
      </c>
      <c r="C89" s="210" t="inlineStr">
        <is>
          <t>Debt Schedule</t>
        </is>
      </c>
      <c r="D89" s="54" t="n"/>
      <c r="E89" s="54" t="n"/>
      <c r="F89" s="54" t="n"/>
      <c r="G89" s="54" t="n"/>
      <c r="H89" s="54" t="n"/>
      <c r="I89" s="54" t="n"/>
      <c r="J89" s="211">
        <f>'Financial Model'!J4</f>
        <v/>
      </c>
      <c r="K89" s="54" t="n"/>
      <c r="L89" s="54" t="n"/>
      <c r="M89" s="54" t="n"/>
      <c r="N89" s="54" t="n"/>
      <c r="O89" s="54" t="n"/>
      <c r="P89" s="54" t="n"/>
      <c r="Q89" s="54" t="n"/>
      <c r="R89" s="54" t="n"/>
      <c r="S89" s="54" t="n"/>
      <c r="T89" s="55" t="n"/>
    </row>
    <row r="90">
      <c r="C90" s="210">
        <f>'Financial Model'!C5</f>
        <v/>
      </c>
      <c r="D90" s="54" t="n"/>
      <c r="E90" s="54" t="n"/>
      <c r="F90" s="54" t="n"/>
      <c r="G90" s="54">
        <f>'Financial Model'!G5</f>
        <v/>
      </c>
      <c r="H90" s="54">
        <f>'Financial Model'!H5</f>
        <v/>
      </c>
      <c r="I90" s="54">
        <f>'Financial Model'!I5</f>
        <v/>
      </c>
      <c r="J90" s="674">
        <f>'Financial Model'!J5</f>
        <v/>
      </c>
      <c r="K90" s="54">
        <f>'Financial Model'!K5</f>
        <v/>
      </c>
      <c r="L90" s="54">
        <f>'Financial Model'!L5</f>
        <v/>
      </c>
      <c r="M90" s="54">
        <f>'Financial Model'!M5</f>
        <v/>
      </c>
      <c r="N90" s="54">
        <f>'Financial Model'!N5</f>
        <v/>
      </c>
      <c r="O90" s="54">
        <f>'Financial Model'!O5</f>
        <v/>
      </c>
      <c r="P90" s="54">
        <f>'Financial Model'!P5</f>
        <v/>
      </c>
      <c r="Q90" s="54">
        <f>'Financial Model'!Q5</f>
        <v/>
      </c>
      <c r="R90" s="54">
        <f>'Financial Model'!R5</f>
        <v/>
      </c>
      <c r="S90" s="54">
        <f>'Financial Model'!S5</f>
        <v/>
      </c>
      <c r="T90" s="55">
        <f>'Financial Model'!T5</f>
        <v/>
      </c>
    </row>
    <row r="91" ht="14.35" customHeight="1">
      <c r="J91" s="469" t="n"/>
    </row>
    <row r="92" ht="14.35" customHeight="1">
      <c r="C92" s="212">
        <f>C84</f>
        <v/>
      </c>
      <c r="D92" s="212" t="n"/>
      <c r="E92" s="212" t="n"/>
      <c r="F92" s="212" t="n"/>
      <c r="G92" s="858" t="n"/>
      <c r="H92" s="858" t="n"/>
      <c r="I92" s="858" t="n"/>
      <c r="J92" s="859" t="n"/>
      <c r="K92" s="733">
        <f>K84</f>
        <v/>
      </c>
      <c r="L92" s="733">
        <f>L84</f>
        <v/>
      </c>
      <c r="M92" s="733">
        <f>M84</f>
        <v/>
      </c>
      <c r="N92" s="733">
        <f>N84</f>
        <v/>
      </c>
      <c r="O92" s="733">
        <f>O84</f>
        <v/>
      </c>
      <c r="P92" s="733">
        <f>P84</f>
        <v/>
      </c>
      <c r="Q92" s="733">
        <f>Q84</f>
        <v/>
      </c>
      <c r="R92" s="733">
        <f>R84</f>
        <v/>
      </c>
      <c r="S92" s="733">
        <f>S84</f>
        <v/>
      </c>
      <c r="T92" s="733">
        <f>T84</f>
        <v/>
      </c>
    </row>
    <row r="93" ht="14.35" customHeight="1">
      <c r="C93" s="215" t="inlineStr">
        <is>
          <t>(-) Mandatory Amortization</t>
        </is>
      </c>
      <c r="D93" s="212" t="n"/>
      <c r="E93" s="212" t="n"/>
      <c r="F93" s="212" t="n"/>
      <c r="G93" s="858" t="n"/>
      <c r="H93" s="858" t="n"/>
      <c r="I93" s="858" t="n"/>
      <c r="J93" s="859" t="n"/>
      <c r="K93" s="628">
        <f>K128</f>
        <v/>
      </c>
      <c r="L93" s="628">
        <f>L128</f>
        <v/>
      </c>
      <c r="M93" s="628">
        <f>M128</f>
        <v/>
      </c>
      <c r="N93" s="628">
        <f>N128</f>
        <v/>
      </c>
      <c r="O93" s="628">
        <f>O128</f>
        <v/>
      </c>
      <c r="P93" s="628">
        <f>P128</f>
        <v/>
      </c>
      <c r="Q93" s="628">
        <f>Q128</f>
        <v/>
      </c>
      <c r="R93" s="628">
        <f>R128</f>
        <v/>
      </c>
      <c r="S93" s="628">
        <f>S128</f>
        <v/>
      </c>
      <c r="T93" s="628">
        <f>T128</f>
        <v/>
      </c>
    </row>
    <row r="94" ht="14.35" customHeight="1">
      <c r="C94" s="592" t="inlineStr">
        <is>
          <t>Cash Flow Available for Sweep</t>
        </is>
      </c>
      <c r="D94" s="592" t="n"/>
      <c r="E94" s="592" t="n"/>
      <c r="F94" s="592" t="n"/>
      <c r="G94" s="860" t="n"/>
      <c r="H94" s="860" t="n"/>
      <c r="I94" s="860" t="n"/>
      <c r="J94" s="861" t="n"/>
      <c r="K94" s="862">
        <f>SUM(K92:K93)</f>
        <v/>
      </c>
      <c r="L94" s="862">
        <f>SUM(L92:L93)</f>
        <v/>
      </c>
      <c r="M94" s="862">
        <f>SUM(M92:M93)</f>
        <v/>
      </c>
      <c r="N94" s="862">
        <f>SUM(N92:N93)</f>
        <v/>
      </c>
      <c r="O94" s="862">
        <f>SUM(O92:O93)</f>
        <v/>
      </c>
      <c r="P94" s="862">
        <f>SUM(P92:P93)</f>
        <v/>
      </c>
      <c r="Q94" s="862">
        <f>SUM(Q92:Q93)</f>
        <v/>
      </c>
      <c r="R94" s="862">
        <f>SUM(R92:R93)</f>
        <v/>
      </c>
      <c r="S94" s="862">
        <f>SUM(S92:S93)</f>
        <v/>
      </c>
      <c r="T94" s="863">
        <f>SUM(T92:T93)</f>
        <v/>
      </c>
    </row>
    <row r="95" ht="14.35" customHeight="1"/>
    <row r="96" ht="14.35" customHeight="1">
      <c r="C96" s="8">
        <f>"(-) Sweep to "&amp;C105</f>
        <v/>
      </c>
      <c r="G96" s="858" t="n"/>
      <c r="H96" s="858" t="n"/>
      <c r="I96" s="858" t="n"/>
      <c r="J96" s="859" t="n"/>
      <c r="K96" s="682">
        <f>IF(K94&gt;=0,-MIN(K94,K106),-K94)</f>
        <v/>
      </c>
      <c r="L96" s="682">
        <f>IF(L94&gt;=0,-MIN(L94,L106),-L94)</f>
        <v/>
      </c>
      <c r="M96" s="682">
        <f>IF(M94&gt;=0,-MIN(M94,M106),-M94)</f>
        <v/>
      </c>
      <c r="N96" s="682">
        <f>IF(N94&gt;=0,-MIN(N94,N106),-N94)</f>
        <v/>
      </c>
      <c r="O96" s="682">
        <f>IF(O94&gt;=0,-MIN(O94,O106),-O94)</f>
        <v/>
      </c>
      <c r="P96" s="682">
        <f>IF(P94&gt;=0,-MIN(P94,P106),-P94)</f>
        <v/>
      </c>
      <c r="Q96" s="682">
        <f>IF(Q94&gt;=0,-MIN(Q94,Q106),-Q94)</f>
        <v/>
      </c>
      <c r="R96" s="682">
        <f>IF(R94&gt;=0,-MIN(R94,R106),-R94)</f>
        <v/>
      </c>
      <c r="S96" s="682">
        <f>IF(S94&gt;=0,-MIN(S94,S106),-S94)</f>
        <v/>
      </c>
      <c r="T96" s="682">
        <f>IF(T94&gt;=0,-MIN(T94,T106),-T94)</f>
        <v/>
      </c>
    </row>
    <row r="97" ht="14.35" customHeight="1">
      <c r="C97" s="234">
        <f>"Cash Remaining After "&amp;C105</f>
        <v/>
      </c>
      <c r="D97" s="234" t="n"/>
      <c r="E97" s="234" t="n"/>
      <c r="F97" s="234" t="n"/>
      <c r="G97" s="860" t="n"/>
      <c r="H97" s="860" t="n"/>
      <c r="I97" s="860" t="n"/>
      <c r="J97" s="861" t="n"/>
      <c r="K97" s="692">
        <f>SUM(K94:K96)</f>
        <v/>
      </c>
      <c r="L97" s="692">
        <f>SUM(L94:L96)</f>
        <v/>
      </c>
      <c r="M97" s="692">
        <f>SUM(M94:M96)</f>
        <v/>
      </c>
      <c r="N97" s="692">
        <f>SUM(N94:N96)</f>
        <v/>
      </c>
      <c r="O97" s="692">
        <f>SUM(O94:O96)</f>
        <v/>
      </c>
      <c r="P97" s="692">
        <f>SUM(P94:P96)</f>
        <v/>
      </c>
      <c r="Q97" s="692">
        <f>SUM(Q94:Q96)</f>
        <v/>
      </c>
      <c r="R97" s="692">
        <f>SUM(R94:R96)</f>
        <v/>
      </c>
      <c r="S97" s="692">
        <f>SUM(S94:S96)</f>
        <v/>
      </c>
      <c r="T97" s="864">
        <f>SUM(T94:T96)</f>
        <v/>
      </c>
    </row>
    <row r="98" ht="14.35" customHeight="1">
      <c r="G98" s="685" t="n"/>
      <c r="H98" s="685" t="n"/>
      <c r="I98" s="685" t="n"/>
      <c r="J98" s="865" t="n"/>
      <c r="K98" s="682" t="n"/>
      <c r="L98" s="682" t="n"/>
      <c r="M98" s="682" t="n"/>
      <c r="N98" s="682" t="n"/>
      <c r="O98" s="682" t="n"/>
      <c r="P98" s="682" t="n"/>
      <c r="Q98" s="682" t="n"/>
      <c r="R98" s="682" t="n"/>
      <c r="S98" s="682" t="n"/>
      <c r="T98" s="682" t="n"/>
    </row>
    <row r="99" ht="14.35" customHeight="1">
      <c r="C99" s="8">
        <f>"(-) Sweep to "&amp;C111</f>
        <v/>
      </c>
      <c r="G99" s="866" t="n"/>
      <c r="H99" s="866" t="n"/>
      <c r="I99" s="866" t="n"/>
      <c r="J99" s="867" t="n"/>
      <c r="K99" s="682">
        <f>-MIN(K97,K112+K113)</f>
        <v/>
      </c>
      <c r="L99" s="682">
        <f>-MIN(L97,L112+L113)</f>
        <v/>
      </c>
      <c r="M99" s="682">
        <f>-MIN(M97,M112+M113)</f>
        <v/>
      </c>
      <c r="N99" s="682">
        <f>-MIN(N97,N112+N113)</f>
        <v/>
      </c>
      <c r="O99" s="682">
        <f>-MIN(O97,O112+O113)</f>
        <v/>
      </c>
      <c r="P99" s="682">
        <f>-MIN(P97,P112+P113)</f>
        <v/>
      </c>
      <c r="Q99" s="682">
        <f>-MIN(Q97,Q112+Q113)</f>
        <v/>
      </c>
      <c r="R99" s="682">
        <f>-MIN(R97,R112+R113)</f>
        <v/>
      </c>
      <c r="S99" s="682">
        <f>-MIN(S97,S112+S113)</f>
        <v/>
      </c>
      <c r="T99" s="682">
        <f>-MIN(T97,T112+T113)</f>
        <v/>
      </c>
    </row>
    <row r="100" ht="14.35" customHeight="1">
      <c r="C100" s="234">
        <f>"Cash Remaining After "&amp;C111</f>
        <v/>
      </c>
      <c r="D100" s="234" t="n"/>
      <c r="E100" s="234" t="n"/>
      <c r="F100" s="234" t="n"/>
      <c r="G100" s="860" t="n"/>
      <c r="H100" s="860" t="n"/>
      <c r="I100" s="860" t="n"/>
      <c r="J100" s="861" t="n"/>
      <c r="K100" s="692">
        <f>SUM(K97:K99)</f>
        <v/>
      </c>
      <c r="L100" s="692">
        <f>SUM(L97:L99)</f>
        <v/>
      </c>
      <c r="M100" s="692">
        <f>SUM(M97:M99)</f>
        <v/>
      </c>
      <c r="N100" s="692">
        <f>SUM(N97:N99)</f>
        <v/>
      </c>
      <c r="O100" s="692">
        <f>SUM(O97:O99)</f>
        <v/>
      </c>
      <c r="P100" s="692">
        <f>SUM(P97:P99)</f>
        <v/>
      </c>
      <c r="Q100" s="692">
        <f>SUM(Q97:Q99)</f>
        <v/>
      </c>
      <c r="R100" s="692">
        <f>SUM(R97:R99)</f>
        <v/>
      </c>
      <c r="S100" s="692">
        <f>SUM(S97:S99)</f>
        <v/>
      </c>
      <c r="T100" s="864">
        <f>SUM(T97:T99)</f>
        <v/>
      </c>
    </row>
    <row r="101" ht="14.35" customHeight="1">
      <c r="G101" s="868" t="n"/>
      <c r="H101" s="868" t="n"/>
      <c r="I101" s="868" t="n"/>
      <c r="J101" s="869" t="n"/>
      <c r="K101" s="682" t="n"/>
      <c r="L101" s="682" t="n"/>
      <c r="M101" s="682" t="n"/>
      <c r="N101" s="682" t="n"/>
      <c r="O101" s="682" t="n"/>
      <c r="P101" s="682" t="n"/>
      <c r="Q101" s="682" t="n"/>
      <c r="R101" s="682" t="n"/>
      <c r="S101" s="682" t="n"/>
      <c r="T101" s="682" t="n"/>
    </row>
    <row r="102" ht="14.35" customHeight="1">
      <c r="C102" s="8">
        <f>"(-) Sweep to "&amp;C118</f>
        <v/>
      </c>
      <c r="G102" s="870" t="n"/>
      <c r="H102" s="870" t="n"/>
      <c r="I102" s="870" t="n"/>
      <c r="J102" s="871" t="n"/>
      <c r="K102" s="682">
        <f>-MIN(K100,K119+K120)</f>
        <v/>
      </c>
      <c r="L102" s="682">
        <f>-MIN(L100,L119+L120)</f>
        <v/>
      </c>
      <c r="M102" s="682">
        <f>-MIN(M100,M119+M120)</f>
        <v/>
      </c>
      <c r="N102" s="682">
        <f>-MIN(N100,N119+N120)</f>
        <v/>
      </c>
      <c r="O102" s="682">
        <f>-MIN(O100,O119+O120)</f>
        <v/>
      </c>
      <c r="P102" s="682">
        <f>-MIN(P100,P119+P120)</f>
        <v/>
      </c>
      <c r="Q102" s="682">
        <f>-MIN(Q100,Q119+Q120)</f>
        <v/>
      </c>
      <c r="R102" s="682">
        <f>-MIN(R100,R119+R120)</f>
        <v/>
      </c>
      <c r="S102" s="682">
        <f>-MIN(S100,S119+S120)</f>
        <v/>
      </c>
      <c r="T102" s="682">
        <f>-MIN(T100,T119+T120)</f>
        <v/>
      </c>
    </row>
    <row r="103" ht="14.35" customHeight="1">
      <c r="C103" s="597" t="inlineStr">
        <is>
          <t>Excess Cash to BS</t>
        </is>
      </c>
      <c r="D103" s="597" t="n"/>
      <c r="E103" s="597" t="n"/>
      <c r="F103" s="597" t="n"/>
      <c r="G103" s="860" t="n"/>
      <c r="H103" s="860" t="n"/>
      <c r="I103" s="860" t="n"/>
      <c r="J103" s="861" t="n"/>
      <c r="K103" s="872">
        <f>SUM(K100:K102)</f>
        <v/>
      </c>
      <c r="L103" s="872">
        <f>SUM(L100:L102)</f>
        <v/>
      </c>
      <c r="M103" s="872">
        <f>SUM(M100:M102)</f>
        <v/>
      </c>
      <c r="N103" s="872">
        <f>SUM(N100:N102)</f>
        <v/>
      </c>
      <c r="O103" s="872">
        <f>SUM(O100:O102)</f>
        <v/>
      </c>
      <c r="P103" s="872">
        <f>SUM(P100:P102)</f>
        <v/>
      </c>
      <c r="Q103" s="872">
        <f>SUM(Q100:Q102)</f>
        <v/>
      </c>
      <c r="R103" s="872">
        <f>SUM(R100:R102)</f>
        <v/>
      </c>
      <c r="S103" s="872">
        <f>SUM(S100:S102)</f>
        <v/>
      </c>
      <c r="T103" s="873">
        <f>SUM(T100:T102)</f>
        <v/>
      </c>
    </row>
    <row r="104" ht="14.35" customHeight="1">
      <c r="J104" s="469" t="n"/>
    </row>
    <row r="105" ht="14.35" customHeight="1">
      <c r="C105" s="576">
        <f>I11</f>
        <v/>
      </c>
      <c r="D105" s="220" t="n"/>
      <c r="E105" s="220" t="n"/>
      <c r="F105" s="220" t="n"/>
      <c r="G105" s="220" t="n"/>
      <c r="H105" s="220" t="n"/>
      <c r="I105" s="220" t="n"/>
      <c r="J105" s="470" t="n"/>
      <c r="K105" s="220" t="n"/>
      <c r="L105" s="220" t="n"/>
      <c r="M105" s="220" t="n"/>
      <c r="N105" s="220" t="n"/>
      <c r="O105" s="220" t="n"/>
      <c r="P105" s="220" t="n"/>
      <c r="Q105" s="220" t="n"/>
      <c r="R105" s="220" t="n"/>
      <c r="S105" s="220" t="n"/>
      <c r="T105" s="527" t="n"/>
    </row>
    <row r="106" ht="14.35" customHeight="1">
      <c r="C106" s="94" t="inlineStr">
        <is>
          <t xml:space="preserve">  Beginning Balance</t>
        </is>
      </c>
      <c r="D106" s="94" t="n"/>
      <c r="E106" s="94" t="n"/>
      <c r="F106" s="94" t="n"/>
      <c r="G106" s="866" t="n"/>
      <c r="H106" s="866" t="n"/>
      <c r="I106" s="866" t="n"/>
      <c r="J106" s="867" t="n"/>
      <c r="K106" s="868">
        <f>K11</f>
        <v/>
      </c>
      <c r="L106" s="700">
        <f>K108</f>
        <v/>
      </c>
      <c r="M106" s="700">
        <f>L108</f>
        <v/>
      </c>
      <c r="N106" s="700">
        <f>M108</f>
        <v/>
      </c>
      <c r="O106" s="700">
        <f>N108</f>
        <v/>
      </c>
      <c r="P106" s="700">
        <f>O108</f>
        <v/>
      </c>
      <c r="Q106" s="700">
        <f>P108</f>
        <v/>
      </c>
      <c r="R106" s="700">
        <f>Q108</f>
        <v/>
      </c>
      <c r="S106" s="700">
        <f>R108</f>
        <v/>
      </c>
      <c r="T106" s="850">
        <f>S108</f>
        <v/>
      </c>
    </row>
    <row r="107" ht="14.35" customHeight="1">
      <c r="C107" s="94" t="inlineStr">
        <is>
          <t xml:space="preserve">  (-) Cash Sweep / (+) Draw</t>
        </is>
      </c>
      <c r="D107" s="94" t="n"/>
      <c r="E107" s="94" t="n"/>
      <c r="F107" s="94" t="n"/>
      <c r="G107" s="870" t="n"/>
      <c r="H107" s="870" t="n"/>
      <c r="I107" s="870" t="n"/>
      <c r="J107" s="871" t="n"/>
      <c r="K107" s="823">
        <f>K96</f>
        <v/>
      </c>
      <c r="L107" s="823">
        <f>L96</f>
        <v/>
      </c>
      <c r="M107" s="823">
        <f>M96</f>
        <v/>
      </c>
      <c r="N107" s="823">
        <f>N96</f>
        <v/>
      </c>
      <c r="O107" s="823">
        <f>O96</f>
        <v/>
      </c>
      <c r="P107" s="823">
        <f>P96</f>
        <v/>
      </c>
      <c r="Q107" s="823">
        <f>Q96</f>
        <v/>
      </c>
      <c r="R107" s="823">
        <f>R96</f>
        <v/>
      </c>
      <c r="S107" s="823">
        <f>S96</f>
        <v/>
      </c>
      <c r="T107" s="874">
        <f>T96</f>
        <v/>
      </c>
    </row>
    <row r="108" ht="14.35" customHeight="1">
      <c r="C108" s="234" t="inlineStr">
        <is>
          <t xml:space="preserve">  Ending Balance</t>
        </is>
      </c>
      <c r="D108" s="234" t="n"/>
      <c r="E108" s="234" t="n"/>
      <c r="F108" s="234" t="n"/>
      <c r="G108" s="860" t="n"/>
      <c r="H108" s="860" t="n"/>
      <c r="I108" s="860" t="n"/>
      <c r="J108" s="861" t="n"/>
      <c r="K108" s="692">
        <f>MAX(0,K106+K107)</f>
        <v/>
      </c>
      <c r="L108" s="692">
        <f>MAX(0,L106+L107)</f>
        <v/>
      </c>
      <c r="M108" s="692">
        <f>MAX(0,M106+M107)</f>
        <v/>
      </c>
      <c r="N108" s="692">
        <f>MAX(0,N106+N107)</f>
        <v/>
      </c>
      <c r="O108" s="692">
        <f>MAX(0,O106+O107)</f>
        <v/>
      </c>
      <c r="P108" s="692">
        <f>MAX(0,P106+P107)</f>
        <v/>
      </c>
      <c r="Q108" s="692">
        <f>MAX(0,Q106+Q107)</f>
        <v/>
      </c>
      <c r="R108" s="692">
        <f>MAX(0,R106+R107)</f>
        <v/>
      </c>
      <c r="S108" s="692">
        <f>MAX(0,S106+S107)</f>
        <v/>
      </c>
      <c r="T108" s="864">
        <f>MAX(0,T106+T107)</f>
        <v/>
      </c>
    </row>
    <row r="109" ht="14.35" customHeight="1">
      <c r="A109" s="307" t="n"/>
      <c r="B109" s="307" t="n"/>
      <c r="C109" s="10">
        <f>"   "&amp;C105&amp;" Interest Expense"</f>
        <v/>
      </c>
      <c r="D109" s="10" t="n"/>
      <c r="E109" s="10" t="n"/>
      <c r="F109" s="10" t="n"/>
      <c r="G109" s="875" t="n"/>
      <c r="H109" s="875" t="n"/>
      <c r="I109" s="875" t="n"/>
      <c r="J109" s="876" t="n"/>
      <c r="K109" s="877">
        <f>AVERAGE(K106,K108)*$L$11</f>
        <v/>
      </c>
      <c r="L109" s="877">
        <f>AVERAGE(L106,L108)*$L$11</f>
        <v/>
      </c>
      <c r="M109" s="877">
        <f>AVERAGE(M106,M108)*$L$11</f>
        <v/>
      </c>
      <c r="N109" s="877">
        <f>AVERAGE(N106,N108)*$L$11</f>
        <v/>
      </c>
      <c r="O109" s="877">
        <f>AVERAGE(O106,O108)*$L$11</f>
        <v/>
      </c>
      <c r="P109" s="877">
        <f>AVERAGE(P106,P108)*$L$11</f>
        <v/>
      </c>
      <c r="Q109" s="877">
        <f>AVERAGE(Q106,Q108)*$L$11</f>
        <v/>
      </c>
      <c r="R109" s="877">
        <f>AVERAGE(R106,R108)*$L$11</f>
        <v/>
      </c>
      <c r="S109" s="877">
        <f>AVERAGE(S106,S108)*$L$11</f>
        <v/>
      </c>
      <c r="T109" s="878">
        <f>AVERAGE(T106,T108)*$L$11</f>
        <v/>
      </c>
      <c r="U109" s="307" t="n"/>
      <c r="V109" s="307" t="n"/>
    </row>
    <row r="110" ht="14.35" customHeight="1">
      <c r="G110" s="879" t="n"/>
      <c r="H110" s="879" t="n"/>
      <c r="I110" s="879" t="n"/>
      <c r="J110" s="880" t="n"/>
      <c r="K110" s="879" t="n"/>
      <c r="L110" s="879" t="n"/>
      <c r="M110" s="879" t="n"/>
      <c r="N110" s="879" t="n"/>
      <c r="O110" s="879" t="n"/>
      <c r="P110" s="879" t="n"/>
      <c r="Q110" s="879" t="n"/>
      <c r="R110" s="879" t="n"/>
      <c r="S110" s="879" t="n"/>
      <c r="T110" s="881" t="n"/>
    </row>
    <row r="111" ht="14.35" customHeight="1">
      <c r="C111" s="576">
        <f>I12</f>
        <v/>
      </c>
      <c r="D111" s="220" t="n"/>
      <c r="E111" s="220" t="n"/>
      <c r="F111" s="220" t="n"/>
      <c r="G111" s="685" t="n"/>
      <c r="H111" s="685" t="n"/>
      <c r="I111" s="685" t="n"/>
      <c r="J111" s="865" t="n"/>
      <c r="K111" s="685" t="n"/>
      <c r="L111" s="685" t="n"/>
      <c r="M111" s="685" t="n"/>
      <c r="N111" s="685" t="n"/>
      <c r="O111" s="685" t="n"/>
      <c r="P111" s="685" t="n"/>
      <c r="Q111" s="685" t="n"/>
      <c r="R111" s="685" t="n"/>
      <c r="S111" s="685" t="n"/>
      <c r="T111" s="882" t="n"/>
    </row>
    <row r="112" ht="14.35" customHeight="1">
      <c r="C112" s="94" t="inlineStr">
        <is>
          <t xml:space="preserve">  Beginning Balance</t>
        </is>
      </c>
      <c r="D112" s="94" t="n"/>
      <c r="E112" s="94" t="n"/>
      <c r="F112" s="94" t="n"/>
      <c r="G112" s="870" t="n"/>
      <c r="H112" s="870" t="n"/>
      <c r="I112" s="870" t="n"/>
      <c r="J112" s="871" t="n"/>
      <c r="K112" s="868">
        <f>K12</f>
        <v/>
      </c>
      <c r="L112" s="700">
        <f>K115</f>
        <v/>
      </c>
      <c r="M112" s="700">
        <f>L115</f>
        <v/>
      </c>
      <c r="N112" s="700">
        <f>M115</f>
        <v/>
      </c>
      <c r="O112" s="700">
        <f>N115</f>
        <v/>
      </c>
      <c r="P112" s="700">
        <f>O115</f>
        <v/>
      </c>
      <c r="Q112" s="700">
        <f>P115</f>
        <v/>
      </c>
      <c r="R112" s="700">
        <f>Q115</f>
        <v/>
      </c>
      <c r="S112" s="700">
        <f>R115</f>
        <v/>
      </c>
      <c r="T112" s="850">
        <f>S115</f>
        <v/>
      </c>
    </row>
    <row r="113" ht="14.35" customHeight="1">
      <c r="C113" s="94" t="inlineStr">
        <is>
          <t xml:space="preserve">  (-) Mandatory Amortization</t>
        </is>
      </c>
      <c r="D113" s="94" t="n"/>
      <c r="E113" s="94" t="n"/>
      <c r="F113" s="94" t="n"/>
      <c r="G113" s="870" t="n"/>
      <c r="H113" s="870" t="n"/>
      <c r="I113" s="870" t="n"/>
      <c r="J113" s="871" t="n"/>
      <c r="K113" s="823">
        <f>-MIN($K$12*$M$12,K112)</f>
        <v/>
      </c>
      <c r="L113" s="823">
        <f>-MIN($K$12*$M$12,L112)</f>
        <v/>
      </c>
      <c r="M113" s="823">
        <f>-MIN($K$12*$M$12,M112)</f>
        <v/>
      </c>
      <c r="N113" s="823">
        <f>-MIN($K$12*$M$12,N112)</f>
        <v/>
      </c>
      <c r="O113" s="823">
        <f>-MIN($K$12*$M$12,O112)</f>
        <v/>
      </c>
      <c r="P113" s="823">
        <f>-MIN($K$12*$M$12,P112)</f>
        <v/>
      </c>
      <c r="Q113" s="823">
        <f>-MIN($K$12*$M$12,Q112)</f>
        <v/>
      </c>
      <c r="R113" s="823">
        <f>-MIN($K$12*$M$12,R112)</f>
        <v/>
      </c>
      <c r="S113" s="823">
        <f>-MIN($K$12*$M$12,S112)</f>
        <v/>
      </c>
      <c r="T113" s="874">
        <f>-MIN($K$12*$M$12,T112)</f>
        <v/>
      </c>
    </row>
    <row r="114" ht="14.35" customHeight="1">
      <c r="C114" s="94" t="inlineStr">
        <is>
          <t xml:space="preserve">  (-) Cash Sweep</t>
        </is>
      </c>
      <c r="D114" s="94" t="n"/>
      <c r="E114" s="94" t="n"/>
      <c r="F114" s="94" t="n"/>
      <c r="G114" s="870" t="n"/>
      <c r="H114" s="870" t="n"/>
      <c r="I114" s="870" t="n"/>
      <c r="J114" s="871" t="n"/>
      <c r="K114" s="823">
        <f>K99</f>
        <v/>
      </c>
      <c r="L114" s="823">
        <f>L99</f>
        <v/>
      </c>
      <c r="M114" s="823">
        <f>M99</f>
        <v/>
      </c>
      <c r="N114" s="823">
        <f>N99</f>
        <v/>
      </c>
      <c r="O114" s="823">
        <f>O99</f>
        <v/>
      </c>
      <c r="P114" s="823">
        <f>P99</f>
        <v/>
      </c>
      <c r="Q114" s="823">
        <f>Q99</f>
        <v/>
      </c>
      <c r="R114" s="823">
        <f>R99</f>
        <v/>
      </c>
      <c r="S114" s="823">
        <f>S99</f>
        <v/>
      </c>
      <c r="T114" s="874">
        <f>T99</f>
        <v/>
      </c>
    </row>
    <row r="115" ht="14.35" customHeight="1">
      <c r="C115" s="234" t="inlineStr">
        <is>
          <t xml:space="preserve">  Ending Balance</t>
        </is>
      </c>
      <c r="D115" s="234" t="n"/>
      <c r="E115" s="234" t="n"/>
      <c r="F115" s="234" t="n"/>
      <c r="G115" s="860" t="n"/>
      <c r="H115" s="860" t="n"/>
      <c r="I115" s="860" t="n"/>
      <c r="J115" s="861" t="n"/>
      <c r="K115" s="692">
        <f>SUM(K112:K114)</f>
        <v/>
      </c>
      <c r="L115" s="692">
        <f>SUM(L112:L114)</f>
        <v/>
      </c>
      <c r="M115" s="692">
        <f>SUM(M112:M114)</f>
        <v/>
      </c>
      <c r="N115" s="692">
        <f>SUM(N112:N114)</f>
        <v/>
      </c>
      <c r="O115" s="692">
        <f>SUM(O112:O114)</f>
        <v/>
      </c>
      <c r="P115" s="692">
        <f>SUM(P112:P114)</f>
        <v/>
      </c>
      <c r="Q115" s="692">
        <f>SUM(Q112:Q114)</f>
        <v/>
      </c>
      <c r="R115" s="692">
        <f>SUM(R112:R114)</f>
        <v/>
      </c>
      <c r="S115" s="692">
        <f>SUM(S112:S114)</f>
        <v/>
      </c>
      <c r="T115" s="864">
        <f>SUM(T112:T114)</f>
        <v/>
      </c>
    </row>
    <row r="116" ht="14.35" customHeight="1">
      <c r="A116" s="307" t="n"/>
      <c r="B116" s="307" t="n"/>
      <c r="C116" s="10">
        <f>"   "&amp;C111&amp;" Interest Expense"</f>
        <v/>
      </c>
      <c r="D116" s="10" t="n"/>
      <c r="E116" s="10" t="n"/>
      <c r="F116" s="10" t="n"/>
      <c r="G116" s="875" t="n"/>
      <c r="H116" s="875" t="n"/>
      <c r="I116" s="875" t="n"/>
      <c r="J116" s="876" t="n"/>
      <c r="K116" s="877">
        <f>AVERAGE(K112,K115)*$L$12</f>
        <v/>
      </c>
      <c r="L116" s="877">
        <f>AVERAGE(L112,L115)*$L$12</f>
        <v/>
      </c>
      <c r="M116" s="877">
        <f>AVERAGE(M112,M115)*$L$12</f>
        <v/>
      </c>
      <c r="N116" s="877">
        <f>AVERAGE(N112,N115)*$L$12</f>
        <v/>
      </c>
      <c r="O116" s="877">
        <f>AVERAGE(O112,O115)*$L$12</f>
        <v/>
      </c>
      <c r="P116" s="877">
        <f>AVERAGE(P112,P115)*$L$12</f>
        <v/>
      </c>
      <c r="Q116" s="877">
        <f>AVERAGE(Q112,Q115)*$L$12</f>
        <v/>
      </c>
      <c r="R116" s="877">
        <f>AVERAGE(R112,R115)*$L$12</f>
        <v/>
      </c>
      <c r="S116" s="877">
        <f>AVERAGE(S112,S115)*$L$12</f>
        <v/>
      </c>
      <c r="T116" s="878">
        <f>AVERAGE(T112,T115)*$L$12</f>
        <v/>
      </c>
      <c r="U116" s="307" t="n"/>
      <c r="V116" s="307" t="n"/>
    </row>
    <row r="117" ht="14.35" customHeight="1">
      <c r="G117" s="879" t="n"/>
      <c r="H117" s="879" t="n"/>
      <c r="I117" s="879" t="n"/>
      <c r="J117" s="880" t="n"/>
      <c r="K117" s="879" t="n"/>
      <c r="L117" s="879" t="n"/>
      <c r="M117" s="879" t="n"/>
      <c r="N117" s="879" t="n"/>
      <c r="O117" s="879" t="n"/>
      <c r="P117" s="879" t="n"/>
      <c r="Q117" s="879" t="n"/>
      <c r="R117" s="879" t="n"/>
      <c r="S117" s="879" t="n"/>
      <c r="T117" s="881" t="n"/>
    </row>
    <row r="118" ht="14.35" customHeight="1">
      <c r="C118" s="576">
        <f>I13</f>
        <v/>
      </c>
      <c r="D118" s="220" t="n"/>
      <c r="E118" s="220" t="n"/>
      <c r="F118" s="220" t="n"/>
      <c r="G118" s="685" t="n"/>
      <c r="H118" s="685" t="n"/>
      <c r="I118" s="685" t="n"/>
      <c r="J118" s="865" t="n"/>
      <c r="K118" s="685" t="n"/>
      <c r="L118" s="685" t="n"/>
      <c r="M118" s="685" t="n"/>
      <c r="N118" s="685" t="n"/>
      <c r="O118" s="685" t="n"/>
      <c r="P118" s="685" t="n"/>
      <c r="Q118" s="685" t="n"/>
      <c r="R118" s="685" t="n"/>
      <c r="S118" s="685" t="n"/>
      <c r="T118" s="882" t="n"/>
    </row>
    <row r="119" ht="14.35" customHeight="1">
      <c r="C119" s="94" t="inlineStr">
        <is>
          <t xml:space="preserve">  Beginning Balance</t>
        </is>
      </c>
      <c r="D119" s="94" t="n"/>
      <c r="E119" s="94" t="n"/>
      <c r="F119" s="94" t="n"/>
      <c r="G119" s="870" t="n"/>
      <c r="H119" s="870" t="n"/>
      <c r="I119" s="870" t="n"/>
      <c r="J119" s="871" t="n"/>
      <c r="K119" s="868">
        <f>K13</f>
        <v/>
      </c>
      <c r="L119" s="700">
        <f>K122</f>
        <v/>
      </c>
      <c r="M119" s="700">
        <f>L122</f>
        <v/>
      </c>
      <c r="N119" s="700">
        <f>M122</f>
        <v/>
      </c>
      <c r="O119" s="700">
        <f>N122</f>
        <v/>
      </c>
      <c r="P119" s="700">
        <f>O122</f>
        <v/>
      </c>
      <c r="Q119" s="700">
        <f>P122</f>
        <v/>
      </c>
      <c r="R119" s="700">
        <f>Q122</f>
        <v/>
      </c>
      <c r="S119" s="700">
        <f>R122</f>
        <v/>
      </c>
      <c r="T119" s="850">
        <f>S122</f>
        <v/>
      </c>
    </row>
    <row r="120" ht="14.35" customHeight="1">
      <c r="C120" s="94" t="inlineStr">
        <is>
          <t xml:space="preserve">  (-) Mandatory Amortization</t>
        </is>
      </c>
      <c r="D120" s="94" t="n"/>
      <c r="E120" s="94" t="n"/>
      <c r="F120" s="94" t="n"/>
      <c r="G120" s="870" t="n"/>
      <c r="H120" s="870" t="n"/>
      <c r="I120" s="870" t="n"/>
      <c r="J120" s="871" t="n"/>
      <c r="K120" s="823">
        <f>-MIN($K$13*$M$13,K119)</f>
        <v/>
      </c>
      <c r="L120" s="823">
        <f>-MIN($K$13*$M$13,L119)</f>
        <v/>
      </c>
      <c r="M120" s="823">
        <f>-MIN($K$13*$M$13,M119)</f>
        <v/>
      </c>
      <c r="N120" s="823">
        <f>-MIN($K$13*$M$13,N119)</f>
        <v/>
      </c>
      <c r="O120" s="823">
        <f>-MIN($K$13*$M$13,O119)</f>
        <v/>
      </c>
      <c r="P120" s="823">
        <f>-MIN($K$13*$M$13,P119)</f>
        <v/>
      </c>
      <c r="Q120" s="823">
        <f>-MIN($K$13*$M$13,Q119)</f>
        <v/>
      </c>
      <c r="R120" s="823">
        <f>-MIN($K$13*$M$13,R119)</f>
        <v/>
      </c>
      <c r="S120" s="823">
        <f>-MIN($K$13*$M$13,S119)</f>
        <v/>
      </c>
      <c r="T120" s="874">
        <f>-MIN($K$13*$M$13,T119)</f>
        <v/>
      </c>
    </row>
    <row r="121" ht="14.35" customHeight="1">
      <c r="C121" s="94" t="inlineStr">
        <is>
          <t xml:space="preserve">  (-) Cash Sweep</t>
        </is>
      </c>
      <c r="D121" s="94" t="n"/>
      <c r="E121" s="94" t="n"/>
      <c r="F121" s="94" t="n"/>
      <c r="G121" s="870" t="n"/>
      <c r="H121" s="870" t="n"/>
      <c r="I121" s="870" t="n"/>
      <c r="J121" s="871" t="n"/>
      <c r="K121" s="823">
        <f>K102</f>
        <v/>
      </c>
      <c r="L121" s="823">
        <f>L102</f>
        <v/>
      </c>
      <c r="M121" s="823">
        <f>M102</f>
        <v/>
      </c>
      <c r="N121" s="823">
        <f>N102</f>
        <v/>
      </c>
      <c r="O121" s="823">
        <f>O102</f>
        <v/>
      </c>
      <c r="P121" s="823">
        <f>P102</f>
        <v/>
      </c>
      <c r="Q121" s="823">
        <f>Q102</f>
        <v/>
      </c>
      <c r="R121" s="823">
        <f>R102</f>
        <v/>
      </c>
      <c r="S121" s="823">
        <f>S102</f>
        <v/>
      </c>
      <c r="T121" s="874">
        <f>T102</f>
        <v/>
      </c>
    </row>
    <row r="122" ht="14.35" customHeight="1">
      <c r="C122" s="234" t="inlineStr">
        <is>
          <t xml:space="preserve">  Ending Balance</t>
        </is>
      </c>
      <c r="D122" s="234" t="n"/>
      <c r="E122" s="234" t="n"/>
      <c r="F122" s="234" t="n"/>
      <c r="G122" s="860" t="n"/>
      <c r="H122" s="860" t="n"/>
      <c r="I122" s="860" t="n"/>
      <c r="J122" s="861" t="n"/>
      <c r="K122" s="692">
        <f>SUM(K119:K121)</f>
        <v/>
      </c>
      <c r="L122" s="692">
        <f>SUM(L119:L121)</f>
        <v/>
      </c>
      <c r="M122" s="692">
        <f>SUM(M119:M121)</f>
        <v/>
      </c>
      <c r="N122" s="692">
        <f>SUM(N119:N121)</f>
        <v/>
      </c>
      <c r="O122" s="692">
        <f>SUM(O119:O121)</f>
        <v/>
      </c>
      <c r="P122" s="692">
        <f>SUM(P119:P121)</f>
        <v/>
      </c>
      <c r="Q122" s="692">
        <f>SUM(Q119:Q121)</f>
        <v/>
      </c>
      <c r="R122" s="692">
        <f>SUM(R119:R121)</f>
        <v/>
      </c>
      <c r="S122" s="692">
        <f>SUM(S119:S121)</f>
        <v/>
      </c>
      <c r="T122" s="864">
        <f>SUM(T119:T121)</f>
        <v/>
      </c>
    </row>
    <row r="123" ht="14.35" customHeight="1">
      <c r="A123" s="307" t="n"/>
      <c r="B123" s="307" t="n"/>
      <c r="C123" s="10">
        <f>"   "&amp;C118&amp;" Interest Expense"</f>
        <v/>
      </c>
      <c r="D123" s="10" t="n"/>
      <c r="E123" s="10" t="n"/>
      <c r="F123" s="10" t="n"/>
      <c r="G123" s="875" t="n"/>
      <c r="H123" s="875" t="n"/>
      <c r="I123" s="875" t="n"/>
      <c r="J123" s="876" t="n"/>
      <c r="K123" s="877">
        <f>AVERAGE(K119,K122)*$L$13</f>
        <v/>
      </c>
      <c r="L123" s="877">
        <f>AVERAGE(L119,L122)*$L$13</f>
        <v/>
      </c>
      <c r="M123" s="877">
        <f>AVERAGE(M119,M122)*$L$13</f>
        <v/>
      </c>
      <c r="N123" s="877">
        <f>AVERAGE(N119,N122)*$L$13</f>
        <v/>
      </c>
      <c r="O123" s="877">
        <f>AVERAGE(O119,O122)*$L$13</f>
        <v/>
      </c>
      <c r="P123" s="877">
        <f>AVERAGE(P119,P122)*$L$13</f>
        <v/>
      </c>
      <c r="Q123" s="877">
        <f>AVERAGE(Q119,Q122)*$L$13</f>
        <v/>
      </c>
      <c r="R123" s="877">
        <f>AVERAGE(R119,R122)*$L$13</f>
        <v/>
      </c>
      <c r="S123" s="877">
        <f>AVERAGE(S119,S122)*$L$13</f>
        <v/>
      </c>
      <c r="T123" s="878">
        <f>AVERAGE(T119,T122)*$L$13</f>
        <v/>
      </c>
      <c r="U123" s="307" t="n"/>
      <c r="V123" s="307" t="n"/>
    </row>
    <row r="124" ht="14.35" customHeight="1">
      <c r="G124" s="879" t="n"/>
      <c r="H124" s="879" t="n"/>
      <c r="I124" s="879" t="n"/>
      <c r="J124" s="880" t="n"/>
      <c r="K124" s="879" t="n"/>
      <c r="L124" s="879" t="n"/>
      <c r="M124" s="879" t="n"/>
      <c r="N124" s="879" t="n"/>
      <c r="O124" s="879" t="n"/>
      <c r="P124" s="879" t="n"/>
      <c r="Q124" s="879" t="n"/>
      <c r="R124" s="879" t="n"/>
      <c r="S124" s="879" t="n"/>
      <c r="T124" s="881" t="n"/>
    </row>
    <row r="125" ht="14.35" customHeight="1">
      <c r="C125" s="94" t="inlineStr">
        <is>
          <t>Total Beginning Debt</t>
        </is>
      </c>
      <c r="D125" s="94" t="n"/>
      <c r="E125" s="94" t="n"/>
      <c r="F125" s="94" t="n"/>
      <c r="G125" s="866" t="n"/>
      <c r="H125" s="866" t="n"/>
      <c r="I125" s="866" t="n"/>
      <c r="J125" s="867" t="n"/>
      <c r="K125" s="823">
        <f>SUM(K119,K112,K106)</f>
        <v/>
      </c>
      <c r="L125" s="823">
        <f>SUM(L119,L112,L106)</f>
        <v/>
      </c>
      <c r="M125" s="823">
        <f>SUM(M119,M112,M106)</f>
        <v/>
      </c>
      <c r="N125" s="823">
        <f>SUM(N119,N112,N106)</f>
        <v/>
      </c>
      <c r="O125" s="823">
        <f>SUM(O119,O112,O106)</f>
        <v/>
      </c>
      <c r="P125" s="823">
        <f>SUM(P119,P112,P106)</f>
        <v/>
      </c>
      <c r="Q125" s="823">
        <f>SUM(Q119,Q112,Q106)</f>
        <v/>
      </c>
      <c r="R125" s="823">
        <f>SUM(R119,R112,R106)</f>
        <v/>
      </c>
      <c r="S125" s="823">
        <f>SUM(S119,S112,S106)</f>
        <v/>
      </c>
      <c r="T125" s="874">
        <f>SUM(T119,T112,T106)</f>
        <v/>
      </c>
    </row>
    <row r="126" ht="14.35" customHeight="1">
      <c r="C126" s="468" t="inlineStr">
        <is>
          <t>Total Ending Debt</t>
        </is>
      </c>
      <c r="D126" s="468" t="n"/>
      <c r="E126" s="468" t="n"/>
      <c r="F126" s="468" t="n"/>
      <c r="G126" s="883" t="n"/>
      <c r="H126" s="883" t="n"/>
      <c r="I126" s="883" t="n"/>
      <c r="J126" s="883" t="n"/>
      <c r="K126" s="884">
        <f>SUM(K122,K115,K108)</f>
        <v/>
      </c>
      <c r="L126" s="884">
        <f>SUM(L122,L115,L108)</f>
        <v/>
      </c>
      <c r="M126" s="884">
        <f>SUM(M122,M115,M108)</f>
        <v/>
      </c>
      <c r="N126" s="884">
        <f>SUM(N122,N115,N108)</f>
        <v/>
      </c>
      <c r="O126" s="884">
        <f>SUM(O122,O115,O108)</f>
        <v/>
      </c>
      <c r="P126" s="884">
        <f>SUM(P122,P115,P108)</f>
        <v/>
      </c>
      <c r="Q126" s="884">
        <f>SUM(Q122,Q115,Q108)</f>
        <v/>
      </c>
      <c r="R126" s="884">
        <f>SUM(R122,R115,R108)</f>
        <v/>
      </c>
      <c r="S126" s="884">
        <f>SUM(S122,S115,S108)</f>
        <v/>
      </c>
      <c r="T126" s="884">
        <f>SUM(T122,T115,T108)</f>
        <v/>
      </c>
    </row>
    <row r="127" ht="14.35" customHeight="1">
      <c r="J127" s="473" t="n"/>
      <c r="T127" s="534" t="n"/>
    </row>
    <row r="128" ht="14.35" customHeight="1">
      <c r="C128" s="599" t="inlineStr">
        <is>
          <t>Total Mandatory Amortization</t>
        </is>
      </c>
      <c r="D128" s="94" t="n"/>
      <c r="E128" s="94" t="n"/>
      <c r="F128" s="94" t="n"/>
      <c r="G128" s="870" t="n"/>
      <c r="H128" s="870" t="n"/>
      <c r="I128" s="870" t="n"/>
      <c r="J128" s="870" t="n"/>
      <c r="K128" s="868">
        <f>SUM(K120,K113)</f>
        <v/>
      </c>
      <c r="L128" s="868">
        <f>SUM(L120,L113)</f>
        <v/>
      </c>
      <c r="M128" s="868">
        <f>SUM(M120,M113)</f>
        <v/>
      </c>
      <c r="N128" s="868">
        <f>SUM(N120,N113)</f>
        <v/>
      </c>
      <c r="O128" s="868">
        <f>SUM(O120,O113)</f>
        <v/>
      </c>
      <c r="P128" s="868">
        <f>SUM(P120,P113)</f>
        <v/>
      </c>
      <c r="Q128" s="868">
        <f>SUM(Q120,Q113)</f>
        <v/>
      </c>
      <c r="R128" s="868">
        <f>SUM(R120,R113)</f>
        <v/>
      </c>
      <c r="S128" s="868">
        <f>SUM(S120,S113)</f>
        <v/>
      </c>
      <c r="T128" s="885">
        <f>SUM(T120,T113)</f>
        <v/>
      </c>
    </row>
    <row r="129" ht="14.35" customHeight="1">
      <c r="C129" s="599" t="inlineStr">
        <is>
          <t>Total Interest Expense</t>
        </is>
      </c>
      <c r="D129" s="94" t="n"/>
      <c r="E129" s="94" t="n"/>
      <c r="F129" s="94" t="n"/>
      <c r="G129" s="870" t="n"/>
      <c r="H129" s="870" t="n"/>
      <c r="I129" s="870" t="n"/>
      <c r="J129" s="870" t="n"/>
      <c r="K129" s="823">
        <f>SUM(K123,K116,K109)</f>
        <v/>
      </c>
      <c r="L129" s="823">
        <f>SUM(L123,L116,L109)</f>
        <v/>
      </c>
      <c r="M129" s="823">
        <f>SUM(M123,M116,M109)</f>
        <v/>
      </c>
      <c r="N129" s="823">
        <f>SUM(N123,N116,N109)</f>
        <v/>
      </c>
      <c r="O129" s="823">
        <f>SUM(O123,O116,O109)</f>
        <v/>
      </c>
      <c r="P129" s="823">
        <f>SUM(P123,P116,P109)</f>
        <v/>
      </c>
      <c r="Q129" s="823">
        <f>SUM(Q123,Q116,Q109)</f>
        <v/>
      </c>
      <c r="R129" s="823">
        <f>SUM(R123,R116,R109)</f>
        <v/>
      </c>
      <c r="S129" s="823">
        <f>SUM(S123,S116,S109)</f>
        <v/>
      </c>
      <c r="T129" s="874">
        <f>SUM(T123,T116,T109)</f>
        <v/>
      </c>
    </row>
    <row r="130" ht="14.35" customHeight="1"/>
    <row r="131" ht="14.35" customHeight="1"/>
    <row r="132" ht="14.35" customHeight="1"/>
    <row r="133" ht="14.35" customHeight="1">
      <c r="C133" s="210">
        <f>'Financial Model'!C3</f>
        <v/>
      </c>
      <c r="D133" s="54" t="n"/>
      <c r="E133" s="54" t="n"/>
      <c r="F133" s="54" t="n"/>
      <c r="G133" s="54" t="n"/>
      <c r="H133" s="54" t="n"/>
      <c r="I133" s="54" t="n"/>
      <c r="J133" s="55" t="n"/>
      <c r="K133" s="54" t="n"/>
      <c r="L133" s="54" t="n"/>
      <c r="M133" s="54" t="n"/>
      <c r="N133" s="54" t="n"/>
      <c r="O133" s="54" t="n"/>
      <c r="P133" s="54" t="n"/>
      <c r="Q133" s="54" t="n"/>
      <c r="R133" s="54" t="n"/>
      <c r="S133" s="54" t="n"/>
      <c r="T133" s="55" t="n"/>
    </row>
    <row r="134" ht="14.35" customHeight="1">
      <c r="A134" s="216" t="inlineStr">
        <is>
          <t>X</t>
        </is>
      </c>
      <c r="C134" s="210" t="inlineStr">
        <is>
          <t>Covenant Compliance</t>
        </is>
      </c>
      <c r="D134" s="54" t="n"/>
      <c r="E134" s="54" t="n"/>
      <c r="F134" s="54" t="n"/>
      <c r="G134" s="54" t="n"/>
      <c r="H134" s="54" t="n"/>
      <c r="I134" s="54" t="n"/>
      <c r="J134" s="211">
        <f>'Financial Model'!J4</f>
        <v/>
      </c>
      <c r="K134" s="54" t="n"/>
      <c r="L134" s="54" t="n"/>
      <c r="M134" s="54" t="n"/>
      <c r="N134" s="54" t="n"/>
      <c r="O134" s="54" t="n"/>
      <c r="P134" s="54" t="n"/>
      <c r="Q134" s="54" t="n"/>
      <c r="R134" s="54" t="n"/>
      <c r="S134" s="54" t="n"/>
      <c r="T134" s="55" t="n"/>
    </row>
    <row r="135" ht="14.35" customHeight="1">
      <c r="C135" s="210">
        <f>'Financial Model'!C5</f>
        <v/>
      </c>
      <c r="D135" s="54" t="n"/>
      <c r="E135" s="54" t="n"/>
      <c r="F135" s="54" t="n"/>
      <c r="G135" s="54">
        <f>'Financial Model'!G5</f>
        <v/>
      </c>
      <c r="H135" s="54">
        <f>'Financial Model'!H5</f>
        <v/>
      </c>
      <c r="I135" s="54">
        <f>'Financial Model'!I5</f>
        <v/>
      </c>
      <c r="J135" s="674">
        <f>'Financial Model'!J5</f>
        <v/>
      </c>
      <c r="K135" s="54">
        <f>'Financial Model'!K5</f>
        <v/>
      </c>
      <c r="L135" s="54">
        <f>'Financial Model'!L5</f>
        <v/>
      </c>
      <c r="M135" s="54">
        <f>'Financial Model'!M5</f>
        <v/>
      </c>
      <c r="N135" s="54">
        <f>'Financial Model'!N5</f>
        <v/>
      </c>
      <c r="O135" s="54">
        <f>'Financial Model'!O5</f>
        <v/>
      </c>
      <c r="P135" s="54">
        <f>'Financial Model'!P5</f>
        <v/>
      </c>
      <c r="Q135" s="54">
        <f>'Financial Model'!Q5</f>
        <v/>
      </c>
      <c r="R135" s="54">
        <f>'Financial Model'!R5</f>
        <v/>
      </c>
      <c r="S135" s="54">
        <f>'Financial Model'!S5</f>
        <v/>
      </c>
      <c r="T135" s="55">
        <f>'Financial Model'!T5</f>
        <v/>
      </c>
    </row>
    <row r="136" ht="14.35" customHeight="1">
      <c r="J136" s="469" t="n"/>
    </row>
    <row r="137" ht="14.35" customFormat="1" customHeight="1" s="489">
      <c r="A137" s="212" t="n"/>
      <c r="B137" s="212" t="n"/>
      <c r="C137" s="524" t="inlineStr">
        <is>
          <t>Net Leverage Ratio (Net Debt / EBITDA)</t>
        </is>
      </c>
      <c r="D137" s="212" t="n"/>
      <c r="E137" s="212" t="n"/>
      <c r="F137" s="212" t="n"/>
      <c r="G137" s="883" t="n"/>
      <c r="H137" s="883" t="n"/>
      <c r="I137" s="883" t="n"/>
      <c r="J137" s="883" t="n"/>
      <c r="K137" s="886">
        <f>K126/K64</f>
        <v/>
      </c>
      <c r="L137" s="886">
        <f>L126/L64</f>
        <v/>
      </c>
      <c r="M137" s="886">
        <f>M126/M64</f>
        <v/>
      </c>
      <c r="N137" s="886">
        <f>N126/N64</f>
        <v/>
      </c>
      <c r="O137" s="886">
        <f>O126/O64</f>
        <v/>
      </c>
      <c r="P137" s="886">
        <f>P126/P64</f>
        <v/>
      </c>
      <c r="Q137" s="886">
        <f>Q126/Q64</f>
        <v/>
      </c>
      <c r="R137" s="886">
        <f>R126/R64</f>
        <v/>
      </c>
      <c r="S137" s="886">
        <f>S126/S64</f>
        <v/>
      </c>
      <c r="T137" s="886">
        <f>T126/T64</f>
        <v/>
      </c>
      <c r="U137" s="212" t="n"/>
      <c r="V137" s="212" t="n"/>
    </row>
    <row r="138" ht="14.45" customHeight="1">
      <c r="C138" s="132" t="inlineStr">
        <is>
          <t>Maximum Net Leverage Covenant</t>
        </is>
      </c>
      <c r="G138" s="870" t="n"/>
      <c r="H138" s="870" t="n"/>
      <c r="I138" s="870" t="n"/>
      <c r="J138" s="870" t="n"/>
      <c r="K138" s="827" t="n">
        <v>5</v>
      </c>
      <c r="L138" s="827" t="n">
        <v>5</v>
      </c>
      <c r="M138" s="827" t="n">
        <v>5</v>
      </c>
      <c r="N138" s="827" t="n">
        <v>5</v>
      </c>
      <c r="O138" s="827" t="n">
        <v>5</v>
      </c>
      <c r="P138" s="827" t="n">
        <v>5</v>
      </c>
      <c r="Q138" s="827" t="n">
        <v>5</v>
      </c>
      <c r="R138" s="827" t="n">
        <v>5</v>
      </c>
      <c r="S138" s="827" t="n">
        <v>5</v>
      </c>
      <c r="T138" s="827" t="n">
        <v>5</v>
      </c>
    </row>
    <row r="139" ht="14.35" customFormat="1" customHeight="1" s="489">
      <c r="A139" s="212" t="n"/>
      <c r="B139" s="212" t="n"/>
      <c r="C139" s="220" t="inlineStr">
        <is>
          <t>Compliance</t>
        </is>
      </c>
      <c r="D139" s="212" t="n"/>
      <c r="E139" s="212" t="n"/>
      <c r="F139" s="212" t="n"/>
      <c r="G139" s="883" t="n"/>
      <c r="H139" s="883" t="n"/>
      <c r="I139" s="883" t="n"/>
      <c r="J139" s="883" t="n"/>
      <c r="K139" s="525">
        <f>IF(K137&lt;=K138,"PASS","FAIL")</f>
        <v/>
      </c>
      <c r="L139" s="525">
        <f>IF(L137&lt;=L138,"PASS","FAIL")</f>
        <v/>
      </c>
      <c r="M139" s="525">
        <f>IF(M137&lt;=M138,"PASS","FAIL")</f>
        <v/>
      </c>
      <c r="N139" s="525">
        <f>IF(N137&lt;=N138,"PASS","FAIL")</f>
        <v/>
      </c>
      <c r="O139" s="525">
        <f>IF(O137&lt;=O138,"PASS","FAIL")</f>
        <v/>
      </c>
      <c r="P139" s="525">
        <f>IF(P137&lt;=P138,"PASS","FAIL")</f>
        <v/>
      </c>
      <c r="Q139" s="525">
        <f>IF(Q137&lt;=Q138,"PASS","FAIL")</f>
        <v/>
      </c>
      <c r="R139" s="525">
        <f>IF(R137&lt;=R138,"PASS","FAIL")</f>
        <v/>
      </c>
      <c r="S139" s="525">
        <f>IF(S137&lt;=S138,"PASS","FAIL")</f>
        <v/>
      </c>
      <c r="T139" s="525">
        <f>IF(T137&lt;=T138,"PASS","FAIL")</f>
        <v/>
      </c>
      <c r="U139" s="212" t="n"/>
      <c r="V139" s="212" t="n"/>
    </row>
    <row r="140" ht="14.35" customHeight="1">
      <c r="J140" s="469" t="n"/>
    </row>
    <row r="141" ht="14.35" customFormat="1" customHeight="1" s="489">
      <c r="A141" s="212" t="n"/>
      <c r="B141" s="212" t="n"/>
      <c r="C141" s="524" t="inlineStr">
        <is>
          <t>Interest Coverage (EBITDA / Interest)</t>
        </is>
      </c>
      <c r="D141" s="212" t="n"/>
      <c r="E141" s="212" t="n"/>
      <c r="F141" s="212" t="n"/>
      <c r="G141" s="883" t="n"/>
      <c r="H141" s="883" t="n"/>
      <c r="I141" s="883" t="n"/>
      <c r="J141" s="883" t="n"/>
      <c r="K141" s="886">
        <f>K64/K129</f>
        <v/>
      </c>
      <c r="L141" s="886">
        <f>L64/L129</f>
        <v/>
      </c>
      <c r="M141" s="886">
        <f>M64/M129</f>
        <v/>
      </c>
      <c r="N141" s="886">
        <f>N64/N129</f>
        <v/>
      </c>
      <c r="O141" s="886">
        <f>O64/O129</f>
        <v/>
      </c>
      <c r="P141" s="886">
        <f>P64/P129</f>
        <v/>
      </c>
      <c r="Q141" s="886">
        <f>Q64/Q129</f>
        <v/>
      </c>
      <c r="R141" s="886">
        <f>R64/R129</f>
        <v/>
      </c>
      <c r="S141" s="886">
        <f>S64/S129</f>
        <v/>
      </c>
      <c r="T141" s="886">
        <f>T64/T129</f>
        <v/>
      </c>
      <c r="U141" s="212" t="n"/>
      <c r="V141" s="212" t="n"/>
    </row>
    <row r="142" ht="14.35" customHeight="1">
      <c r="C142" s="132" t="inlineStr">
        <is>
          <t>Minimum Interest Coverage Covenant</t>
        </is>
      </c>
      <c r="G142" s="870" t="n"/>
      <c r="H142" s="870" t="n"/>
      <c r="I142" s="870" t="n"/>
      <c r="J142" s="870" t="n"/>
      <c r="K142" s="827" t="n">
        <v>5</v>
      </c>
      <c r="L142" s="827" t="n">
        <v>5</v>
      </c>
      <c r="M142" s="827" t="n">
        <v>5</v>
      </c>
      <c r="N142" s="827" t="n">
        <v>5</v>
      </c>
      <c r="O142" s="827" t="n">
        <v>5</v>
      </c>
      <c r="P142" s="827" t="n">
        <v>5</v>
      </c>
      <c r="Q142" s="827" t="n">
        <v>5</v>
      </c>
      <c r="R142" s="827" t="n">
        <v>5</v>
      </c>
      <c r="S142" s="827" t="n">
        <v>5</v>
      </c>
      <c r="T142" s="827" t="n">
        <v>5</v>
      </c>
    </row>
    <row r="143" ht="14.35" customFormat="1" customHeight="1" s="489">
      <c r="A143" s="212" t="n"/>
      <c r="B143" s="212" t="n"/>
      <c r="C143" s="220" t="inlineStr">
        <is>
          <t>Compliance</t>
        </is>
      </c>
      <c r="D143" s="212" t="n"/>
      <c r="E143" s="212" t="n"/>
      <c r="F143" s="212" t="n"/>
      <c r="G143" s="883" t="n"/>
      <c r="H143" s="883" t="n"/>
      <c r="I143" s="883" t="n"/>
      <c r="J143" s="883" t="n"/>
      <c r="K143" s="525">
        <f>IF(K141&gt;=K142,"PASS","FAIL")</f>
        <v/>
      </c>
      <c r="L143" s="525">
        <f>IF(L141&gt;=L142,"PASS","FAIL")</f>
        <v/>
      </c>
      <c r="M143" s="525">
        <f>IF(M141&gt;=M142,"PASS","FAIL")</f>
        <v/>
      </c>
      <c r="N143" s="525">
        <f>IF(N141&gt;=N142,"PASS","FAIL")</f>
        <v/>
      </c>
      <c r="O143" s="525">
        <f>IF(O141&gt;=O142,"PASS","FAIL")</f>
        <v/>
      </c>
      <c r="P143" s="525">
        <f>IF(P141&gt;=P142,"PASS","FAIL")</f>
        <v/>
      </c>
      <c r="Q143" s="525">
        <f>IF(Q141&gt;=Q142,"PASS","FAIL")</f>
        <v/>
      </c>
      <c r="R143" s="525">
        <f>IF(R141&gt;=R142,"PASS","FAIL")</f>
        <v/>
      </c>
      <c r="S143" s="525">
        <f>IF(S141&gt;=S142,"PASS","FAIL")</f>
        <v/>
      </c>
      <c r="T143" s="525">
        <f>IF(T141&gt;=T142,"PASS","FAIL")</f>
        <v/>
      </c>
      <c r="U143" s="212" t="n"/>
      <c r="V143" s="212" t="n"/>
    </row>
    <row r="144" ht="14.35" customHeight="1">
      <c r="J144" s="469" t="n"/>
    </row>
    <row r="145" ht="14.35" customHeight="1">
      <c r="C145" s="524" t="inlineStr">
        <is>
          <t>Fixed Charge Coverage</t>
        </is>
      </c>
      <c r="G145" s="870" t="n"/>
      <c r="H145" s="870" t="n"/>
      <c r="I145" s="870" t="n"/>
      <c r="J145" s="870" t="n"/>
      <c r="K145" s="8">
        <f>(K64+K83)/SUM(K128:K129)</f>
        <v/>
      </c>
      <c r="L145" s="8">
        <f>(L64+L83)/SUM(L128:L129)</f>
        <v/>
      </c>
      <c r="M145" s="8">
        <f>(M64+M83)/SUM(M128:M129)</f>
        <v/>
      </c>
      <c r="N145" s="8">
        <f>(N64+N83)/SUM(N128:N129)</f>
        <v/>
      </c>
      <c r="O145" s="8">
        <f>(O64+O83)/SUM(O128:O129)</f>
        <v/>
      </c>
      <c r="P145" s="8">
        <f>(P64+P83)/SUM(P128:P129)</f>
        <v/>
      </c>
      <c r="Q145" s="8">
        <f>(Q64+Q83)/SUM(Q128:Q129)</f>
        <v/>
      </c>
      <c r="R145" s="8">
        <f>(R64+R83)/SUM(R128:R129)</f>
        <v/>
      </c>
      <c r="S145" s="8">
        <f>(S64+S83)/SUM(S128:S129)</f>
        <v/>
      </c>
      <c r="T145" s="8">
        <f>(T64+T83)/SUM(T128:T129)</f>
        <v/>
      </c>
    </row>
    <row r="146" ht="14.35" customHeight="1">
      <c r="C146" s="132" t="inlineStr">
        <is>
          <t>Minimum Fixed Charge Covenant</t>
        </is>
      </c>
      <c r="G146" s="870" t="n"/>
      <c r="H146" s="870" t="n"/>
      <c r="I146" s="870" t="n"/>
      <c r="J146" s="870" t="n"/>
      <c r="K146" s="827" t="n">
        <v>5</v>
      </c>
      <c r="L146" s="827" t="n">
        <v>5</v>
      </c>
      <c r="M146" s="827" t="n">
        <v>5</v>
      </c>
      <c r="N146" s="827" t="n">
        <v>5</v>
      </c>
      <c r="O146" s="827" t="n">
        <v>5</v>
      </c>
      <c r="P146" s="827" t="n">
        <v>5</v>
      </c>
      <c r="Q146" s="827" t="n">
        <v>5</v>
      </c>
      <c r="R146" s="827" t="n">
        <v>5</v>
      </c>
      <c r="S146" s="827" t="n">
        <v>5</v>
      </c>
      <c r="T146" s="827" t="n">
        <v>5</v>
      </c>
    </row>
    <row r="147" ht="14.35" customFormat="1" customHeight="1" s="489">
      <c r="A147" s="212" t="n"/>
      <c r="B147" s="212" t="n"/>
      <c r="C147" s="220" t="inlineStr">
        <is>
          <t>Compliance</t>
        </is>
      </c>
      <c r="D147" s="212" t="n"/>
      <c r="E147" s="212" t="n"/>
      <c r="F147" s="212" t="n"/>
      <c r="G147" s="883" t="n"/>
      <c r="H147" s="883" t="n"/>
      <c r="I147" s="883" t="n"/>
      <c r="J147" s="883" t="n"/>
      <c r="K147" s="525">
        <f>IF(K145&gt;=K146,"PASS","FAIL")</f>
        <v/>
      </c>
      <c r="L147" s="525">
        <f>IF(L145&gt;=L146,"PASS","FAIL")</f>
        <v/>
      </c>
      <c r="M147" s="525">
        <f>IF(M145&gt;=M146,"PASS","FAIL")</f>
        <v/>
      </c>
      <c r="N147" s="525">
        <f>IF(N145&gt;=N146,"PASS","FAIL")</f>
        <v/>
      </c>
      <c r="O147" s="525">
        <f>IF(O145&gt;=O146,"PASS","FAIL")</f>
        <v/>
      </c>
      <c r="P147" s="525">
        <f>IF(P145&gt;=P146,"PASS","FAIL")</f>
        <v/>
      </c>
      <c r="Q147" s="525">
        <f>IF(Q145&gt;=Q146,"PASS","FAIL")</f>
        <v/>
      </c>
      <c r="R147" s="525">
        <f>IF(R145&gt;=R146,"PASS","FAIL")</f>
        <v/>
      </c>
      <c r="S147" s="525">
        <f>IF(S145&gt;=S146,"PASS","FAIL")</f>
        <v/>
      </c>
      <c r="T147" s="525">
        <f>IF(T145&gt;=T146,"PASS","FAIL")</f>
        <v/>
      </c>
      <c r="U147" s="212" t="n"/>
      <c r="V147" s="212" t="n"/>
    </row>
    <row r="148" ht="14.35" customHeight="1">
      <c r="J148" s="469" t="n"/>
    </row>
    <row r="149" ht="14.35" customHeight="1"/>
    <row r="150" ht="14.35" customHeight="1">
      <c r="J150" s="469" t="n"/>
    </row>
    <row r="151" ht="14.35" customHeight="1">
      <c r="C151" s="210">
        <f>'Financial Model'!C3</f>
        <v/>
      </c>
      <c r="D151" s="54" t="n"/>
      <c r="E151" s="54" t="n"/>
      <c r="F151" s="54" t="n"/>
      <c r="G151" s="54" t="n"/>
      <c r="H151" s="54" t="n"/>
      <c r="I151" s="54" t="n"/>
      <c r="J151" s="55" t="n"/>
      <c r="K151" s="54" t="n"/>
      <c r="L151" s="54" t="n"/>
      <c r="M151" s="54" t="n"/>
      <c r="N151" s="54" t="n"/>
      <c r="O151" s="54" t="n"/>
      <c r="P151" s="54" t="n"/>
      <c r="Q151" s="54" t="n"/>
      <c r="R151" s="54" t="n"/>
      <c r="S151" s="54" t="n"/>
      <c r="T151" s="55" t="n"/>
    </row>
    <row r="152" ht="14.35" customHeight="1">
      <c r="A152" s="216" t="inlineStr">
        <is>
          <t>X</t>
        </is>
      </c>
      <c r="C152" s="210" t="inlineStr">
        <is>
          <t>Returns by Exit Year</t>
        </is>
      </c>
      <c r="D152" s="54" t="n"/>
      <c r="E152" s="54" t="n"/>
      <c r="F152" s="54" t="n"/>
      <c r="G152" s="54" t="n"/>
      <c r="H152" s="54" t="n"/>
      <c r="I152" s="54" t="n"/>
      <c r="J152" s="211" t="inlineStr">
        <is>
          <t>FY26A / LTM</t>
        </is>
      </c>
      <c r="K152" s="54" t="n"/>
      <c r="L152" s="54" t="n"/>
      <c r="M152" s="54" t="n"/>
      <c r="N152" s="54" t="n"/>
      <c r="O152" s="54" t="n"/>
      <c r="P152" s="54" t="n"/>
      <c r="Q152" s="54" t="n"/>
      <c r="R152" s="54" t="n"/>
      <c r="S152" s="54" t="n"/>
      <c r="T152" s="55" t="n"/>
    </row>
    <row r="153" ht="14.35" customHeight="1">
      <c r="C153" s="210">
        <f>Assumptions!$G$9</f>
        <v/>
      </c>
      <c r="D153" s="54" t="n"/>
      <c r="E153" s="54" t="n"/>
      <c r="F153" s="54" t="n"/>
      <c r="G153" s="54">
        <f>'Financial Model'!G5</f>
        <v/>
      </c>
      <c r="H153" s="54">
        <f>'Financial Model'!H5</f>
        <v/>
      </c>
      <c r="I153" s="54">
        <f>'Financial Model'!I5</f>
        <v/>
      </c>
      <c r="J153" s="674">
        <f>'Financial Model'!J5</f>
        <v/>
      </c>
      <c r="K153" s="54">
        <f>'Financial Model'!K5</f>
        <v/>
      </c>
      <c r="L153" s="54">
        <f>'Financial Model'!L5</f>
        <v/>
      </c>
      <c r="M153" s="54">
        <f>'Financial Model'!M5</f>
        <v/>
      </c>
      <c r="N153" s="54">
        <f>'Financial Model'!N5</f>
        <v/>
      </c>
      <c r="O153" s="54">
        <f>'Financial Model'!O5</f>
        <v/>
      </c>
      <c r="P153" s="54">
        <f>'Financial Model'!P5</f>
        <v/>
      </c>
      <c r="Q153" s="54">
        <f>'Financial Model'!Q5</f>
        <v/>
      </c>
      <c r="R153" s="54">
        <f>'Financial Model'!R5</f>
        <v/>
      </c>
      <c r="S153" s="54">
        <f>'Financial Model'!S5</f>
        <v/>
      </c>
      <c r="T153" s="55">
        <f>'Financial Model'!T5</f>
        <v/>
      </c>
    </row>
    <row r="154" ht="14.35" customHeight="1">
      <c r="J154" s="469" t="n"/>
    </row>
    <row r="155" ht="14.35" customHeight="1">
      <c r="C155" s="212" t="inlineStr">
        <is>
          <t>Sponsor Equity Invested</t>
        </is>
      </c>
      <c r="D155" s="212" t="n"/>
      <c r="E155" s="212" t="n"/>
      <c r="F155" s="212" t="n"/>
      <c r="G155" s="548" t="n"/>
      <c r="H155" s="548" t="n"/>
      <c r="I155" s="548" t="n"/>
      <c r="J155" s="549" t="n"/>
      <c r="K155" s="733">
        <f>$G$35</f>
        <v/>
      </c>
      <c r="L155" s="548" t="n"/>
      <c r="M155" s="548" t="n"/>
      <c r="N155" s="548" t="n"/>
      <c r="O155" s="548" t="n"/>
      <c r="P155" s="548" t="n"/>
      <c r="Q155" s="548" t="n"/>
      <c r="R155" s="548" t="n"/>
      <c r="S155" s="548" t="n"/>
      <c r="T155" s="548" t="n"/>
    </row>
    <row r="156" ht="14.35" customHeight="1">
      <c r="J156" s="469" t="n"/>
      <c r="K156" s="628" t="n"/>
      <c r="L156" s="628" t="n"/>
      <c r="M156" s="628" t="n"/>
      <c r="N156" s="628" t="n"/>
      <c r="O156" s="628" t="n"/>
      <c r="P156" s="628" t="n"/>
      <c r="Q156" s="628" t="n"/>
      <c r="R156" s="628" t="n"/>
      <c r="S156" s="628" t="n"/>
      <c r="T156" s="628" t="n"/>
    </row>
    <row r="157" ht="14.35" customHeight="1">
      <c r="C157" s="8" t="inlineStr">
        <is>
          <t>LTM EBITDA</t>
        </is>
      </c>
      <c r="J157" s="469" t="n"/>
      <c r="K157" s="700">
        <f>K64</f>
        <v/>
      </c>
      <c r="L157" s="700">
        <f>L64</f>
        <v/>
      </c>
      <c r="M157" s="700">
        <f>M64</f>
        <v/>
      </c>
      <c r="N157" s="700">
        <f>N64</f>
        <v/>
      </c>
      <c r="O157" s="700">
        <f>O64</f>
        <v/>
      </c>
      <c r="P157" s="700">
        <f>P64</f>
        <v/>
      </c>
      <c r="Q157" s="700">
        <f>Q64</f>
        <v/>
      </c>
      <c r="R157" s="700">
        <f>R64</f>
        <v/>
      </c>
      <c r="S157" s="700">
        <f>S64</f>
        <v/>
      </c>
      <c r="T157" s="850">
        <f>T64</f>
        <v/>
      </c>
    </row>
    <row r="158" ht="14.35" customHeight="1">
      <c r="C158" s="8" t="inlineStr">
        <is>
          <t>x Exit Multiple</t>
        </is>
      </c>
      <c r="G158" s="550" t="n"/>
      <c r="H158" s="550" t="n"/>
      <c r="I158" s="550" t="n"/>
      <c r="J158" s="551" t="n"/>
      <c r="K158" s="824">
        <f>$G$25</f>
        <v/>
      </c>
      <c r="L158" s="824">
        <f>$G$25</f>
        <v/>
      </c>
      <c r="M158" s="824">
        <f>$G$25</f>
        <v/>
      </c>
      <c r="N158" s="824">
        <f>$G$25</f>
        <v/>
      </c>
      <c r="O158" s="824">
        <f>$G$25</f>
        <v/>
      </c>
      <c r="P158" s="824">
        <f>$G$25</f>
        <v/>
      </c>
      <c r="Q158" s="824">
        <f>$G$25</f>
        <v/>
      </c>
      <c r="R158" s="824">
        <f>$G$25</f>
        <v/>
      </c>
      <c r="S158" s="824">
        <f>$G$25</f>
        <v/>
      </c>
      <c r="T158" s="887">
        <f>$G$25</f>
        <v/>
      </c>
    </row>
    <row r="159" ht="14.35" customHeight="1">
      <c r="C159" s="124" t="inlineStr">
        <is>
          <t>Exit Enterprise Value</t>
        </is>
      </c>
      <c r="D159" s="124" t="n"/>
      <c r="E159" s="124" t="n"/>
      <c r="F159" s="124" t="n"/>
      <c r="G159" s="552" t="n"/>
      <c r="H159" s="552" t="n"/>
      <c r="I159" s="552" t="n"/>
      <c r="J159" s="553" t="n"/>
      <c r="K159" s="711">
        <f>K157*K158</f>
        <v/>
      </c>
      <c r="L159" s="711">
        <f>L157*L158</f>
        <v/>
      </c>
      <c r="M159" s="711">
        <f>M157*M158</f>
        <v/>
      </c>
      <c r="N159" s="711">
        <f>N157*N158</f>
        <v/>
      </c>
      <c r="O159" s="711">
        <f>O157*O158</f>
        <v/>
      </c>
      <c r="P159" s="711">
        <f>P157*P158</f>
        <v/>
      </c>
      <c r="Q159" s="711">
        <f>Q157*Q158</f>
        <v/>
      </c>
      <c r="R159" s="711">
        <f>R157*R158</f>
        <v/>
      </c>
      <c r="S159" s="711">
        <f>S157*S158</f>
        <v/>
      </c>
      <c r="T159" s="851">
        <f>T157*T158</f>
        <v/>
      </c>
    </row>
    <row r="160" ht="14.35" customHeight="1">
      <c r="C160" s="215" t="inlineStr">
        <is>
          <t>- Net Debt at Exit</t>
        </is>
      </c>
      <c r="G160" s="550" t="n"/>
      <c r="H160" s="550" t="n"/>
      <c r="I160" s="550" t="n"/>
      <c r="J160" s="551" t="n"/>
      <c r="K160" s="628">
        <f>K126</f>
        <v/>
      </c>
      <c r="L160" s="628">
        <f>L126</f>
        <v/>
      </c>
      <c r="M160" s="628">
        <f>M126</f>
        <v/>
      </c>
      <c r="N160" s="628">
        <f>N126</f>
        <v/>
      </c>
      <c r="O160" s="628">
        <f>O126</f>
        <v/>
      </c>
      <c r="P160" s="628">
        <f>P126</f>
        <v/>
      </c>
      <c r="Q160" s="628">
        <f>Q126</f>
        <v/>
      </c>
      <c r="R160" s="628">
        <f>R126</f>
        <v/>
      </c>
      <c r="S160" s="628">
        <f>S126</f>
        <v/>
      </c>
      <c r="T160" s="852">
        <f>T126</f>
        <v/>
      </c>
    </row>
    <row r="161" ht="14.35" customHeight="1">
      <c r="C161" s="124" t="inlineStr">
        <is>
          <t>Equity Value</t>
        </is>
      </c>
      <c r="D161" s="124" t="n"/>
      <c r="E161" s="124" t="n"/>
      <c r="F161" s="124" t="n"/>
      <c r="G161" s="552" t="n"/>
      <c r="H161" s="552" t="n"/>
      <c r="I161" s="552" t="n"/>
      <c r="J161" s="553" t="n"/>
      <c r="K161" s="711">
        <f>K159-K160</f>
        <v/>
      </c>
      <c r="L161" s="711">
        <f>L159-L160</f>
        <v/>
      </c>
      <c r="M161" s="711">
        <f>M159-M160</f>
        <v/>
      </c>
      <c r="N161" s="711">
        <f>N159-N160</f>
        <v/>
      </c>
      <c r="O161" s="711">
        <f>O159-O160</f>
        <v/>
      </c>
      <c r="P161" s="711">
        <f>P159-P160</f>
        <v/>
      </c>
      <c r="Q161" s="711">
        <f>Q159-Q160</f>
        <v/>
      </c>
      <c r="R161" s="711">
        <f>R159-R160</f>
        <v/>
      </c>
      <c r="S161" s="711">
        <f>S159-S160</f>
        <v/>
      </c>
      <c r="T161" s="851">
        <f>T159-T160</f>
        <v/>
      </c>
    </row>
    <row r="162" ht="14.35" customHeight="1">
      <c r="C162" s="8" t="inlineStr">
        <is>
          <t>x Sponsor Share %</t>
        </is>
      </c>
      <c r="G162" s="550" t="n"/>
      <c r="H162" s="550" t="n"/>
      <c r="I162" s="550" t="n"/>
      <c r="J162" s="551" t="n"/>
      <c r="K162" s="135">
        <f>(1-$G$21)</f>
        <v/>
      </c>
      <c r="L162" s="135">
        <f>(1-$G$21)</f>
        <v/>
      </c>
      <c r="M162" s="135">
        <f>(1-$G$21)</f>
        <v/>
      </c>
      <c r="N162" s="135">
        <f>(1-$G$21)</f>
        <v/>
      </c>
      <c r="O162" s="135">
        <f>(1-$G$21)</f>
        <v/>
      </c>
      <c r="P162" s="135">
        <f>(1-$G$21)</f>
        <v/>
      </c>
      <c r="Q162" s="135">
        <f>(1-$G$21)</f>
        <v/>
      </c>
      <c r="R162" s="135">
        <f>(1-$G$21)</f>
        <v/>
      </c>
      <c r="S162" s="135">
        <f>(1-$G$21)</f>
        <v/>
      </c>
      <c r="T162" s="566">
        <f>(1-$G$21)</f>
        <v/>
      </c>
    </row>
    <row r="163" ht="14.35" customHeight="1">
      <c r="C163" s="124" t="inlineStr">
        <is>
          <t>Sponsor Equity Returned</t>
        </is>
      </c>
      <c r="D163" s="124" t="n"/>
      <c r="E163" s="124" t="n"/>
      <c r="F163" s="124" t="n"/>
      <c r="G163" s="552" t="n"/>
      <c r="H163" s="552" t="n"/>
      <c r="I163" s="552" t="n"/>
      <c r="J163" s="553" t="n"/>
      <c r="K163" s="711">
        <f>K161*K162</f>
        <v/>
      </c>
      <c r="L163" s="711">
        <f>L161*L162</f>
        <v/>
      </c>
      <c r="M163" s="711">
        <f>M161*M162</f>
        <v/>
      </c>
      <c r="N163" s="711">
        <f>N161*N162</f>
        <v/>
      </c>
      <c r="O163" s="711">
        <f>O161*O162</f>
        <v/>
      </c>
      <c r="P163" s="711">
        <f>P161*P162</f>
        <v/>
      </c>
      <c r="Q163" s="711">
        <f>Q161*Q162</f>
        <v/>
      </c>
      <c r="R163" s="711">
        <f>R161*R162</f>
        <v/>
      </c>
      <c r="S163" s="711">
        <f>S161*S162</f>
        <v/>
      </c>
      <c r="T163" s="851">
        <f>T161*T162</f>
        <v/>
      </c>
    </row>
    <row r="164" ht="14.35" customHeight="1"/>
    <row r="165" ht="14.35" customFormat="1" customHeight="1" s="489">
      <c r="A165" s="212" t="n"/>
      <c r="B165" s="212" t="n"/>
      <c r="C165" s="543" t="inlineStr">
        <is>
          <t>MOIC</t>
        </is>
      </c>
      <c r="D165" s="544" t="n"/>
      <c r="E165" s="544" t="n"/>
      <c r="F165" s="544" t="n"/>
      <c r="G165" s="888" t="n"/>
      <c r="H165" s="888" t="n"/>
      <c r="I165" s="888" t="n"/>
      <c r="J165" s="888" t="n"/>
      <c r="K165" s="889">
        <f>K163/$K$155</f>
        <v/>
      </c>
      <c r="L165" s="889">
        <f>L163/$K$155</f>
        <v/>
      </c>
      <c r="M165" s="889">
        <f>M163/$K$155</f>
        <v/>
      </c>
      <c r="N165" s="889">
        <f>N163/$K$155</f>
        <v/>
      </c>
      <c r="O165" s="889">
        <f>O163/$K$155</f>
        <v/>
      </c>
      <c r="P165" s="889">
        <f>P163/$K$155</f>
        <v/>
      </c>
      <c r="Q165" s="889">
        <f>Q163/$K$155</f>
        <v/>
      </c>
      <c r="R165" s="889">
        <f>R163/$K$155</f>
        <v/>
      </c>
      <c r="S165" s="889">
        <f>S163/$K$155</f>
        <v/>
      </c>
      <c r="T165" s="890">
        <f>T163/$K$155</f>
        <v/>
      </c>
      <c r="U165" s="212" t="n"/>
      <c r="V165" s="212" t="n"/>
    </row>
    <row r="166" ht="14.35" customFormat="1" customHeight="1" s="489">
      <c r="A166" s="212" t="n"/>
      <c r="B166" s="212" t="n"/>
      <c r="C166" s="545" t="inlineStr">
        <is>
          <t>IRR</t>
        </is>
      </c>
      <c r="D166" s="546" t="n"/>
      <c r="E166" s="546" t="n"/>
      <c r="F166" s="546" t="n"/>
      <c r="G166" s="891" t="n"/>
      <c r="H166" s="891" t="n"/>
      <c r="I166" s="891" t="n"/>
      <c r="J166" s="891" t="n"/>
      <c r="K166" s="563">
        <f>(K165^(1/(COUNTA($K$153:K153)))-1)</f>
        <v/>
      </c>
      <c r="L166" s="563">
        <f>(L165^(1/(COUNTA($K$153:L153)))-1)</f>
        <v/>
      </c>
      <c r="M166" s="563">
        <f>(M165^(1/(COUNTA($K$153:M153)))-1)</f>
        <v/>
      </c>
      <c r="N166" s="563">
        <f>(N165^(1/(COUNTA($K$153:N153)))-1)</f>
        <v/>
      </c>
      <c r="O166" s="563">
        <f>(O165^(1/(COUNTA($K$153:O153)))-1)</f>
        <v/>
      </c>
      <c r="P166" s="563">
        <f>(P165^(1/(COUNTA($K$153:P153)))-1)</f>
        <v/>
      </c>
      <c r="Q166" s="563">
        <f>(Q165^(1/(COUNTA($K$153:Q153)))-1)</f>
        <v/>
      </c>
      <c r="R166" s="563">
        <f>(R165^(1/(COUNTA($K$153:R153)))-1)</f>
        <v/>
      </c>
      <c r="S166" s="563">
        <f>(S165^(1/(COUNTA($K$153:S153)))-1)</f>
        <v/>
      </c>
      <c r="T166" s="564">
        <f>(T165^(1/(COUNTA($K$153:T153)))-1)</f>
        <v/>
      </c>
      <c r="U166" s="212" t="n"/>
      <c r="V166" s="212" t="n"/>
    </row>
    <row r="167" ht="14.35" customHeight="1">
      <c r="J167" s="469" t="n"/>
    </row>
    <row r="168" ht="14.35" customHeight="1"/>
    <row r="169" ht="14.35" customHeight="1">
      <c r="J169" s="469" t="n"/>
    </row>
    <row r="170" ht="14.35" customHeight="1">
      <c r="C170" s="210">
        <f>'Financial Model'!C3</f>
        <v/>
      </c>
      <c r="D170" s="54" t="n"/>
      <c r="E170" s="54" t="n"/>
      <c r="F170" s="54" t="n"/>
      <c r="G170" s="54" t="n"/>
      <c r="H170" s="54" t="n"/>
      <c r="I170" s="54" t="n"/>
      <c r="J170" s="54" t="n"/>
      <c r="K170" s="54" t="n"/>
      <c r="L170" s="54" t="n"/>
      <c r="M170" s="54" t="n"/>
      <c r="N170" s="54" t="n"/>
      <c r="O170" s="54" t="n"/>
      <c r="P170" s="54" t="n"/>
      <c r="Q170" s="54" t="n"/>
      <c r="R170" s="54" t="n"/>
      <c r="S170" s="54" t="n"/>
      <c r="T170" s="54" t="n"/>
    </row>
    <row r="171" ht="14.35" customHeight="1">
      <c r="A171" s="216" t="inlineStr">
        <is>
          <t>X</t>
        </is>
      </c>
      <c r="C171" s="210" t="inlineStr">
        <is>
          <t>Sensitivity Analysis</t>
        </is>
      </c>
      <c r="D171" s="54" t="n"/>
      <c r="E171" s="54" t="n"/>
      <c r="F171" s="54" t="n"/>
      <c r="G171" s="54" t="n"/>
      <c r="H171" s="54" t="n"/>
      <c r="I171" s="54" t="n"/>
      <c r="J171" s="54" t="n"/>
      <c r="K171" s="54" t="n"/>
      <c r="L171" s="54" t="n"/>
      <c r="M171" s="54" t="n"/>
      <c r="N171" s="54" t="n"/>
      <c r="O171" s="54" t="n"/>
      <c r="P171" s="54" t="n"/>
      <c r="Q171" s="54" t="n"/>
      <c r="R171" s="54" t="n"/>
      <c r="S171" s="54" t="n"/>
      <c r="T171" s="54" t="n"/>
    </row>
    <row r="172" ht="14.35" customHeight="1">
      <c r="C172" s="210">
        <f>'Financial Model'!C5</f>
        <v/>
      </c>
      <c r="D172" s="54" t="n"/>
      <c r="E172" s="54" t="n"/>
      <c r="F172" s="54" t="n"/>
      <c r="G172" s="54" t="n"/>
      <c r="H172" s="54" t="n"/>
      <c r="I172" s="54" t="n"/>
      <c r="J172" s="54" t="n"/>
      <c r="K172" s="54" t="n"/>
      <c r="L172" s="54" t="n"/>
      <c r="M172" s="54" t="n"/>
      <c r="N172" s="54" t="n"/>
      <c r="O172" s="54" t="n"/>
      <c r="P172" s="54" t="n"/>
      <c r="Q172" s="54" t="n"/>
      <c r="R172" s="54" t="n"/>
      <c r="S172" s="54" t="n"/>
      <c r="T172" s="54" t="n"/>
    </row>
    <row r="173" ht="14.35" customHeight="1" thickBot="1">
      <c r="J173" s="469" t="n"/>
    </row>
    <row r="174" ht="20" customHeight="1" thickBot="1" thickTop="1">
      <c r="C174" s="455" t="inlineStr">
        <is>
          <t>Entry x Exit Multiple (5 yr. IRR)</t>
        </is>
      </c>
      <c r="D174" s="456" t="n"/>
      <c r="E174" s="456" t="n"/>
      <c r="F174" s="456" t="n"/>
      <c r="G174" s="456" t="n"/>
      <c r="H174" s="456" t="n"/>
      <c r="I174" s="457" t="n"/>
      <c r="J174" s="457" t="n"/>
      <c r="M174" s="455" t="inlineStr">
        <is>
          <t>Entry Multiple x Total Leverage (5 yr. IRR)</t>
        </is>
      </c>
      <c r="N174" s="456" t="n"/>
      <c r="O174" s="456" t="n"/>
      <c r="P174" s="456" t="n"/>
      <c r="Q174" s="456" t="n"/>
      <c r="R174" s="456" t="n"/>
      <c r="S174" s="457" t="n"/>
      <c r="T174" s="457" t="n"/>
    </row>
    <row r="175" ht="5" customHeight="1" thickTop="1"/>
    <row r="176" ht="20" customHeight="1">
      <c r="E176" s="518" t="inlineStr">
        <is>
          <t>Exit Multiple</t>
        </is>
      </c>
      <c r="F176" s="517" t="n"/>
      <c r="G176" s="519" t="n"/>
      <c r="H176" s="515" t="n"/>
      <c r="I176" s="515" t="n"/>
      <c r="O176" s="518" t="inlineStr">
        <is>
          <t>Total Leverage</t>
        </is>
      </c>
      <c r="P176" s="517" t="n"/>
      <c r="Q176" s="519" t="n"/>
      <c r="R176" s="515" t="n"/>
      <c r="S176" s="515" t="n"/>
    </row>
    <row r="177" ht="20" customHeight="1" thickBot="1">
      <c r="D177" s="607">
        <f>O166</f>
        <v/>
      </c>
      <c r="E177" s="892">
        <f>F177-1</f>
        <v/>
      </c>
      <c r="F177" s="892">
        <f>G177-1</f>
        <v/>
      </c>
      <c r="G177" s="892">
        <f>H177-1</f>
        <v/>
      </c>
      <c r="H177" s="892">
        <f>G25</f>
        <v/>
      </c>
      <c r="I177" s="892">
        <f>+H177+1</f>
        <v/>
      </c>
      <c r="N177" s="607">
        <f>O166</f>
        <v/>
      </c>
      <c r="O177" s="893">
        <f>P177-1</f>
        <v/>
      </c>
      <c r="P177" s="893">
        <f>Q177-1</f>
        <v/>
      </c>
      <c r="Q177" s="893">
        <f>G16</f>
        <v/>
      </c>
      <c r="R177" s="893">
        <f>Q177+1</f>
        <v/>
      </c>
      <c r="S177" s="894">
        <f>+R177+1</f>
        <v/>
      </c>
      <c r="T177" s="307" t="n"/>
    </row>
    <row r="178" ht="20" customHeight="1" thickBot="1">
      <c r="C178" s="615" t="inlineStr">
        <is>
          <t>Entry Multiple</t>
        </is>
      </c>
      <c r="D178" s="895">
        <f>D179-1</f>
        <v/>
      </c>
      <c r="E178" s="554">
        <f t="dataTable" ref="E178:I182" dt2D="1" dtr="1" r1="G25" r2="G9" ca="1"/>
        <v/>
      </c>
      <c r="F178" s="554" t="e">
        <v>#DIV/0!</v>
      </c>
      <c r="G178" s="555" t="e">
        <v>#DIV/0!</v>
      </c>
      <c r="H178" s="554" t="e">
        <v>#DIV/0!</v>
      </c>
      <c r="I178" s="554" t="e">
        <v>#DIV/0!</v>
      </c>
      <c r="M178" s="615" t="inlineStr">
        <is>
          <t>Entry Multiple</t>
        </is>
      </c>
      <c r="N178" s="896">
        <f>N179-1</f>
        <v/>
      </c>
      <c r="O178" s="554">
        <f t="dataTable" ref="O178:S182" dt2D="1" dtr="1" r1="G16" r2="G9" ca="1"/>
        <v/>
      </c>
      <c r="P178" s="554" t="e">
        <v>#DIV/0!</v>
      </c>
      <c r="Q178" s="555" t="e">
        <v>#DIV/0!</v>
      </c>
      <c r="R178" s="554" t="e">
        <v>#DIV/0!</v>
      </c>
      <c r="S178" s="554" t="e">
        <v>#DIV/0!</v>
      </c>
      <c r="T178" s="307" t="n"/>
    </row>
    <row r="179" ht="20" customHeight="1" thickBot="1">
      <c r="D179" s="895">
        <f>D180-1</f>
        <v/>
      </c>
      <c r="E179" s="554" t="e">
        <v>#DIV/0!</v>
      </c>
      <c r="F179" s="554" t="e">
        <v>#DIV/0!</v>
      </c>
      <c r="G179" s="555" t="e">
        <v>#DIV/0!</v>
      </c>
      <c r="H179" s="554" t="e">
        <v>#DIV/0!</v>
      </c>
      <c r="I179" s="554" t="e">
        <v>#DIV/0!</v>
      </c>
      <c r="N179" s="896">
        <f>N180-1</f>
        <v/>
      </c>
      <c r="O179" s="554" t="e">
        <v>#DIV/0!</v>
      </c>
      <c r="P179" s="554" t="e">
        <v>#DIV/0!</v>
      </c>
      <c r="Q179" s="555" t="e">
        <v>#DIV/0!</v>
      </c>
      <c r="R179" s="554" t="e">
        <v>#DIV/0!</v>
      </c>
      <c r="S179" s="554" t="e">
        <v>#DIV/0!</v>
      </c>
      <c r="T179" s="307" t="n"/>
    </row>
    <row r="180" ht="20" customHeight="1" thickBot="1">
      <c r="D180" s="895">
        <f>G9</f>
        <v/>
      </c>
      <c r="E180" s="555" t="e">
        <v>#DIV/0!</v>
      </c>
      <c r="F180" s="555" t="e">
        <v>#DIV/0!</v>
      </c>
      <c r="G180" s="556" t="e">
        <v>#DIV/0!</v>
      </c>
      <c r="H180" s="555" t="e">
        <v>#DIV/0!</v>
      </c>
      <c r="I180" s="555" t="e">
        <v>#DIV/0!</v>
      </c>
      <c r="N180" s="896">
        <f>G25</f>
        <v/>
      </c>
      <c r="O180" s="555" t="e">
        <v>#DIV/0!</v>
      </c>
      <c r="P180" s="555" t="e">
        <v>#DIV/0!</v>
      </c>
      <c r="Q180" s="556" t="e">
        <v>#DIV/0!</v>
      </c>
      <c r="R180" s="555" t="e">
        <v>#DIV/0!</v>
      </c>
      <c r="S180" s="555" t="e">
        <v>#DIV/0!</v>
      </c>
      <c r="T180" s="307" t="n"/>
    </row>
    <row r="181" ht="20" customHeight="1" thickBot="1">
      <c r="D181" s="895">
        <f>D180+1</f>
        <v/>
      </c>
      <c r="E181" s="554" t="e">
        <v>#DIV/0!</v>
      </c>
      <c r="F181" s="554" t="e">
        <v>#DIV/0!</v>
      </c>
      <c r="G181" s="555" t="e">
        <v>#DIV/0!</v>
      </c>
      <c r="H181" s="554" t="e">
        <v>#DIV/0!</v>
      </c>
      <c r="I181" s="554" t="e">
        <v>#DIV/0!</v>
      </c>
      <c r="N181" s="896">
        <f>N180+1</f>
        <v/>
      </c>
      <c r="O181" s="554" t="e">
        <v>#DIV/0!</v>
      </c>
      <c r="P181" s="554" t="e">
        <v>#DIV/0!</v>
      </c>
      <c r="Q181" s="555" t="e">
        <v>#DIV/0!</v>
      </c>
      <c r="R181" s="554" t="e">
        <v>#DIV/0!</v>
      </c>
      <c r="S181" s="554" t="e">
        <v>#DIV/0!</v>
      </c>
      <c r="T181" s="307" t="n"/>
    </row>
    <row r="182" ht="20" customHeight="1" thickBot="1">
      <c r="D182" s="895">
        <f>D181+1</f>
        <v/>
      </c>
      <c r="E182" s="554" t="e">
        <v>#DIV/0!</v>
      </c>
      <c r="F182" s="554" t="e">
        <v>#DIV/0!</v>
      </c>
      <c r="G182" s="555" t="e">
        <v>#DIV/0!</v>
      </c>
      <c r="H182" s="554" t="e">
        <v>#DIV/0!</v>
      </c>
      <c r="I182" s="554" t="e">
        <v>#DIV/0!</v>
      </c>
      <c r="N182" s="896">
        <f>N181+1</f>
        <v/>
      </c>
      <c r="O182" s="554" t="e">
        <v>#DIV/0!</v>
      </c>
      <c r="P182" s="554" t="e">
        <v>#DIV/0!</v>
      </c>
      <c r="Q182" s="555" t="e">
        <v>#DIV/0!</v>
      </c>
      <c r="R182" s="554" t="e">
        <v>#DIV/0!</v>
      </c>
      <c r="S182" s="554" t="e">
        <v>#DIV/0!</v>
      </c>
      <c r="T182" s="307" t="n"/>
    </row>
    <row r="183" ht="20" customHeight="1" thickBot="1"/>
    <row r="184" ht="20" customHeight="1" thickBot="1" thickTop="1">
      <c r="C184" s="455" t="inlineStr">
        <is>
          <t>Entry x Exit Multiple (5 yr. MOIC)</t>
        </is>
      </c>
      <c r="D184" s="456" t="n"/>
      <c r="E184" s="456" t="n"/>
      <c r="F184" s="456" t="n"/>
      <c r="G184" s="456" t="n"/>
      <c r="H184" s="456" t="n"/>
      <c r="I184" s="457" t="n"/>
      <c r="J184" s="457" t="n"/>
      <c r="K184" s="8" t="n"/>
      <c r="L184" s="8" t="n"/>
      <c r="M184" s="455" t="inlineStr">
        <is>
          <t>Entry Multiple x Total Leverage (5 yr. MOIC)</t>
        </is>
      </c>
      <c r="N184" s="456" t="n"/>
      <c r="O184" s="456" t="n"/>
      <c r="P184" s="456" t="n"/>
      <c r="Q184" s="456" t="n"/>
      <c r="R184" s="456" t="n"/>
      <c r="S184" s="457" t="n"/>
      <c r="T184" s="457" t="n"/>
    </row>
    <row r="185" ht="5" customHeight="1" thickTop="1">
      <c r="C185" s="8" t="n"/>
      <c r="D185" s="8" t="n"/>
      <c r="E185" s="8" t="n"/>
      <c r="F185" s="8" t="n"/>
      <c r="G185" s="8" t="n"/>
      <c r="H185" s="8" t="n"/>
      <c r="I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</row>
    <row r="186" ht="20" customHeight="1">
      <c r="C186" s="8" t="n"/>
      <c r="D186" s="8" t="n"/>
      <c r="E186" s="518" t="inlineStr">
        <is>
          <t>Exit Multiple</t>
        </is>
      </c>
      <c r="F186" s="517" t="n"/>
      <c r="G186" s="519" t="n"/>
      <c r="H186" s="515" t="n"/>
      <c r="I186" s="515" t="n"/>
      <c r="K186" s="8" t="n"/>
      <c r="L186" s="8" t="n"/>
      <c r="M186" s="8" t="n"/>
      <c r="N186" s="8" t="n"/>
      <c r="O186" s="518" t="inlineStr">
        <is>
          <t>Total Leverage</t>
        </is>
      </c>
      <c r="P186" s="517" t="n"/>
      <c r="Q186" s="519" t="n"/>
      <c r="R186" s="515" t="n"/>
      <c r="S186" s="515" t="n"/>
      <c r="T186" s="8" t="n"/>
    </row>
    <row r="187" ht="20" customHeight="1" thickBot="1">
      <c r="C187" s="8" t="n"/>
      <c r="D187" s="607">
        <f>O165</f>
        <v/>
      </c>
      <c r="E187" s="892">
        <f>F187-1</f>
        <v/>
      </c>
      <c r="F187" s="892">
        <f>G187-1</f>
        <v/>
      </c>
      <c r="G187" s="892">
        <f>H177-1</f>
        <v/>
      </c>
      <c r="H187" s="892">
        <f>G187+1</f>
        <v/>
      </c>
      <c r="I187" s="892">
        <f>H187+1</f>
        <v/>
      </c>
      <c r="K187" s="8" t="n"/>
      <c r="L187" s="8" t="n"/>
      <c r="M187" s="8" t="n"/>
      <c r="N187" s="897">
        <f>O165</f>
        <v/>
      </c>
      <c r="O187" s="893">
        <f>P187-1</f>
        <v/>
      </c>
      <c r="P187" s="893">
        <f>Q187-1</f>
        <v/>
      </c>
      <c r="Q187" s="893">
        <f>G16</f>
        <v/>
      </c>
      <c r="R187" s="893">
        <f>Q187+1</f>
        <v/>
      </c>
      <c r="S187" s="894">
        <f>+R187+1</f>
        <v/>
      </c>
      <c r="T187" s="307" t="n"/>
    </row>
    <row r="188" ht="20" customHeight="1" thickBot="1">
      <c r="C188" s="615" t="inlineStr">
        <is>
          <t>Entry Multiple</t>
        </is>
      </c>
      <c r="D188" s="895">
        <f>D189-1</f>
        <v/>
      </c>
      <c r="E188" s="898">
        <f t="dataTable" ref="E188:I192" dt2D="1" dtr="1" r1="G25" r2="G9" ca="1"/>
        <v/>
      </c>
      <c r="F188" s="898" t="e">
        <v>#DIV/0!</v>
      </c>
      <c r="G188" s="899" t="e">
        <v>#DIV/0!</v>
      </c>
      <c r="H188" s="898" t="e">
        <v>#DIV/0!</v>
      </c>
      <c r="I188" s="898" t="e">
        <v>#DIV/0!</v>
      </c>
      <c r="K188" s="8" t="n"/>
      <c r="L188" s="8" t="n"/>
      <c r="M188" s="615" t="inlineStr">
        <is>
          <t>Entry Multiple</t>
        </is>
      </c>
      <c r="N188" s="896">
        <f>N189-1</f>
        <v/>
      </c>
      <c r="O188" s="898">
        <f t="dataTable" ref="O188:S192" dt2D="1" dtr="1" r1="G16" r2="G9" ca="1"/>
        <v/>
      </c>
      <c r="P188" s="898" t="e">
        <v>#DIV/0!</v>
      </c>
      <c r="Q188" s="899" t="e">
        <v>#DIV/0!</v>
      </c>
      <c r="R188" s="898" t="e">
        <v>#DIV/0!</v>
      </c>
      <c r="S188" s="898" t="e">
        <v>#DIV/0!</v>
      </c>
      <c r="T188" s="307" t="n"/>
    </row>
    <row r="189" ht="20" customHeight="1" thickBot="1">
      <c r="D189" s="895">
        <f>D190-1</f>
        <v/>
      </c>
      <c r="E189" s="898" t="e">
        <v>#DIV/0!</v>
      </c>
      <c r="F189" s="898" t="e">
        <v>#DIV/0!</v>
      </c>
      <c r="G189" s="899" t="e">
        <v>#DIV/0!</v>
      </c>
      <c r="H189" s="898" t="e">
        <v>#DIV/0!</v>
      </c>
      <c r="I189" s="898" t="e">
        <v>#DIV/0!</v>
      </c>
      <c r="K189" s="8" t="n"/>
      <c r="L189" s="8" t="n"/>
      <c r="N189" s="896">
        <f>N190-1</f>
        <v/>
      </c>
      <c r="O189" s="898" t="e">
        <v>#DIV/0!</v>
      </c>
      <c r="P189" s="898" t="e">
        <v>#DIV/0!</v>
      </c>
      <c r="Q189" s="899" t="e">
        <v>#DIV/0!</v>
      </c>
      <c r="R189" s="898" t="e">
        <v>#DIV/0!</v>
      </c>
      <c r="S189" s="898" t="e">
        <v>#DIV/0!</v>
      </c>
      <c r="T189" s="307" t="n"/>
    </row>
    <row r="190" ht="20" customHeight="1" thickBot="1">
      <c r="D190" s="895">
        <f>G25</f>
        <v/>
      </c>
      <c r="E190" s="899" t="e">
        <v>#DIV/0!</v>
      </c>
      <c r="F190" s="899" t="e">
        <v>#DIV/0!</v>
      </c>
      <c r="G190" s="900" t="e">
        <v>#DIV/0!</v>
      </c>
      <c r="H190" s="899" t="e">
        <v>#DIV/0!</v>
      </c>
      <c r="I190" s="899" t="e">
        <v>#DIV/0!</v>
      </c>
      <c r="K190" s="8" t="n"/>
      <c r="L190" s="8" t="n"/>
      <c r="N190" s="896">
        <f>G25</f>
        <v/>
      </c>
      <c r="O190" s="899" t="e">
        <v>#DIV/0!</v>
      </c>
      <c r="P190" s="899" t="e">
        <v>#DIV/0!</v>
      </c>
      <c r="Q190" s="900" t="e">
        <v>#DIV/0!</v>
      </c>
      <c r="R190" s="899" t="e">
        <v>#DIV/0!</v>
      </c>
      <c r="S190" s="899" t="e">
        <v>#DIV/0!</v>
      </c>
      <c r="T190" s="307" t="n"/>
    </row>
    <row r="191" ht="20" customHeight="1" thickBot="1">
      <c r="D191" s="895">
        <f>D190+1</f>
        <v/>
      </c>
      <c r="E191" s="898" t="e">
        <v>#DIV/0!</v>
      </c>
      <c r="F191" s="898" t="e">
        <v>#DIV/0!</v>
      </c>
      <c r="G191" s="899" t="e">
        <v>#DIV/0!</v>
      </c>
      <c r="H191" s="898" t="e">
        <v>#DIV/0!</v>
      </c>
      <c r="I191" s="898" t="e">
        <v>#DIV/0!</v>
      </c>
      <c r="K191" s="8" t="n"/>
      <c r="L191" s="8" t="n"/>
      <c r="N191" s="896">
        <f>N190+1</f>
        <v/>
      </c>
      <c r="O191" s="898" t="e">
        <v>#DIV/0!</v>
      </c>
      <c r="P191" s="898" t="e">
        <v>#DIV/0!</v>
      </c>
      <c r="Q191" s="899" t="e">
        <v>#DIV/0!</v>
      </c>
      <c r="R191" s="898" t="e">
        <v>#DIV/0!</v>
      </c>
      <c r="S191" s="898" t="e">
        <v>#DIV/0!</v>
      </c>
      <c r="T191" s="307" t="n"/>
    </row>
    <row r="192" ht="20" customHeight="1" thickBot="1">
      <c r="D192" s="895">
        <f>D191+1</f>
        <v/>
      </c>
      <c r="E192" s="898" t="e">
        <v>#DIV/0!</v>
      </c>
      <c r="F192" s="898" t="e">
        <v>#DIV/0!</v>
      </c>
      <c r="G192" s="899" t="e">
        <v>#DIV/0!</v>
      </c>
      <c r="H192" s="898" t="e">
        <v>#DIV/0!</v>
      </c>
      <c r="I192" s="898" t="e">
        <v>#DIV/0!</v>
      </c>
      <c r="K192" s="8" t="n"/>
      <c r="L192" s="8" t="n"/>
      <c r="N192" s="896">
        <f>N191+1</f>
        <v/>
      </c>
      <c r="O192" s="898" t="e">
        <v>#DIV/0!</v>
      </c>
      <c r="P192" s="898" t="e">
        <v>#DIV/0!</v>
      </c>
      <c r="Q192" s="899" t="e">
        <v>#DIV/0!</v>
      </c>
      <c r="R192" s="898" t="e">
        <v>#DIV/0!</v>
      </c>
      <c r="S192" s="898" t="e">
        <v>#DIV/0!</v>
      </c>
      <c r="T192" s="307" t="n"/>
    </row>
    <row r="193" ht="20" customHeight="1"/>
    <row r="194" hidden="1" ht="20" customHeight="1"/>
    <row r="195" hidden="1" ht="14.35" customHeight="1"/>
    <row r="196" ht="14.35" customHeight="1"/>
    <row r="197" hidden="1" ht="14.35" customHeight="1"/>
    <row r="198" hidden="1" ht="14.35" customHeight="1"/>
    <row r="199" hidden="1" ht="14.35" customHeight="1"/>
    <row r="200" hidden="1" ht="14.35" customHeight="1"/>
    <row r="201" hidden="1" ht="14.35" customHeight="1"/>
    <row r="202" hidden="1" ht="14.35" customHeight="1"/>
    <row r="203" hidden="1" ht="14.35" customHeight="1"/>
    <row r="204" hidden="1" ht="14.35" customHeight="1"/>
    <row r="205" hidden="1" ht="14.35" customHeight="1"/>
    <row r="206" hidden="1" ht="14.35" customHeight="1"/>
    <row r="207" hidden="1" ht="14.35" customHeight="1"/>
    <row r="208" hidden="1" ht="14.35" customHeight="1"/>
    <row r="209" hidden="1" ht="14.35" customHeight="1"/>
    <row r="210" hidden="1" ht="14.35" customHeight="1"/>
    <row r="211" hidden="1" ht="14.35" customHeight="1"/>
    <row r="212" hidden="1" ht="14.35" customHeight="1"/>
    <row r="213" hidden="1" ht="14.35" customHeight="1"/>
    <row r="214" hidden="1" ht="14.35" customHeight="1"/>
    <row r="215" hidden="1" ht="14.35" customHeight="1"/>
    <row r="216" hidden="1" ht="14.35" customHeight="1"/>
    <row r="217" hidden="1" ht="14.35" customHeight="1"/>
    <row r="218" hidden="1" ht="14.35" customHeight="1"/>
    <row r="219" hidden="1" ht="14.35" customHeight="1"/>
    <row r="220" hidden="1" ht="14.35" customHeight="1"/>
    <row r="221" hidden="1" ht="14.35" customHeight="1"/>
    <row r="222" hidden="1" ht="14.35" customHeight="1"/>
    <row r="223" hidden="1" ht="14.35" customHeight="1"/>
    <row r="224" hidden="1" ht="14.35" customHeight="1"/>
    <row r="225" hidden="1" ht="14.35" customHeight="1"/>
    <row r="226" hidden="1" ht="14.35" customHeight="1"/>
    <row r="227" hidden="1" ht="14.35" customHeight="1"/>
    <row r="228" hidden="1" ht="14.35" customHeight="1"/>
    <row r="229" hidden="1" ht="14.35" customHeight="1"/>
    <row r="230" hidden="1" ht="14.35" customHeight="1"/>
    <row r="231" hidden="1" ht="14.35" customHeight="1"/>
    <row r="232" hidden="1" ht="14.35" customHeight="1"/>
    <row r="233" hidden="1" ht="14.35" customHeight="1"/>
    <row r="234" hidden="1" ht="14.35" customHeight="1"/>
    <row r="235" hidden="1" ht="14.35" customHeight="1"/>
    <row r="236" hidden="1" ht="14.35" customHeight="1"/>
    <row r="237" hidden="1" ht="14.35" customHeight="1"/>
    <row r="238" hidden="1" ht="14.35" customHeight="1"/>
    <row r="239" hidden="1" ht="14.35" customHeight="1"/>
    <row r="240" hidden="1" ht="14.35" customHeight="1"/>
    <row r="241" hidden="1" ht="14.35" customHeight="1"/>
    <row r="242" hidden="1" ht="14.35" customHeight="1"/>
    <row r="243" hidden="1" ht="14.35" customHeight="1"/>
    <row r="244" hidden="1" ht="14.35" customHeight="1"/>
    <row r="245" hidden="1" ht="14.35" customHeight="1"/>
    <row r="246" hidden="1" ht="14.35" customHeight="1"/>
    <row r="247" hidden="1" ht="14.35" customHeight="1"/>
    <row r="248" hidden="1" ht="14.35" customHeight="1"/>
    <row r="249" hidden="1" ht="14.35" customHeight="1"/>
    <row r="250" hidden="1" ht="14.35" customHeight="1"/>
    <row r="251" hidden="1" ht="14.35" customHeight="1"/>
    <row r="252" hidden="1" ht="14.35" customHeight="1"/>
    <row r="253" hidden="1" ht="14.35" customHeight="1"/>
    <row r="254" hidden="1" ht="14.35" customHeight="1"/>
    <row r="255" hidden="1" ht="14.35" customHeight="1"/>
    <row r="256" hidden="1" ht="14.35" customHeight="1"/>
    <row r="257" hidden="1" ht="14.35" customHeight="1"/>
    <row r="258" hidden="1" ht="14.35" customHeight="1"/>
    <row r="259" hidden="1" ht="14.35" customHeight="1"/>
    <row r="260" hidden="1" ht="14.35" customHeight="1"/>
    <row r="261" hidden="1" ht="14.35" customHeight="1"/>
    <row r="262" hidden="1" ht="14.35" customHeight="1"/>
    <row r="263" hidden="1" ht="14.35" customHeight="1"/>
    <row r="264" hidden="1" ht="14.35" customHeight="1"/>
    <row r="265" hidden="1" ht="14.35" customHeight="1"/>
    <row r="266" hidden="1" ht="14.35" customHeight="1"/>
    <row r="267" hidden="1" ht="14.35" customHeight="1"/>
    <row r="268" hidden="1" ht="14.35" customHeight="1"/>
    <row r="269" hidden="1" ht="14.35" customHeight="1"/>
    <row r="270" hidden="1" ht="14.35" customHeight="1"/>
    <row r="271" hidden="1" ht="14.35" customHeight="1"/>
    <row r="272" hidden="1" ht="14.35" customHeight="1"/>
    <row r="273" hidden="1" ht="14.35" customHeight="1"/>
    <row r="274" hidden="1" ht="14.35" customHeight="1"/>
    <row r="275" hidden="1" ht="14.35" customHeight="1"/>
    <row r="276" hidden="1" ht="14.35" customHeight="1"/>
    <row r="277" hidden="1" ht="14.35" customHeight="1"/>
    <row r="278" hidden="1" ht="14.35" customHeight="1"/>
    <row r="279" hidden="1" ht="14.35" customHeight="1"/>
    <row r="280" hidden="1" ht="14.35" customHeight="1"/>
    <row r="281" hidden="1" ht="14.35" customHeight="1"/>
    <row r="282" hidden="1" ht="14.35" customHeight="1"/>
    <row r="283" hidden="1" ht="14.35" customHeight="1"/>
    <row r="284" hidden="1" ht="14.35" customHeight="1"/>
    <row r="285" hidden="1" ht="14.35" customHeight="1"/>
    <row r="286" hidden="1" ht="14.35" customHeight="1"/>
    <row r="287" hidden="1" ht="14.35" customHeight="1"/>
    <row r="288" hidden="1" ht="14.35" customHeight="1"/>
    <row r="289" hidden="1" ht="14.35" customHeight="1"/>
    <row r="290" hidden="1" ht="14.35" customHeight="1"/>
    <row r="291" hidden="1" ht="14.35" customHeight="1"/>
    <row r="292" hidden="1" ht="14.35" customHeight="1"/>
    <row r="293" hidden="1" ht="14.35" customHeight="1"/>
    <row r="294" hidden="1" ht="14.35" customHeight="1"/>
    <row r="295" hidden="1" ht="14.35" customHeight="1"/>
    <row r="296" hidden="1" ht="14.35" customHeight="1"/>
    <row r="297" hidden="1" ht="14.35" customHeight="1"/>
    <row r="298" hidden="1" ht="14.35" customHeight="1"/>
    <row r="299" hidden="1" ht="14.35" customHeight="1"/>
    <row r="300" hidden="1" ht="14.35" customHeight="1"/>
    <row r="301" hidden="1" ht="14.35" customHeight="1"/>
    <row r="302" hidden="1" ht="14.35" customHeight="1"/>
    <row r="303" hidden="1" ht="14.35" customHeight="1"/>
    <row r="304" hidden="1" ht="14.35" customHeight="1"/>
    <row r="305" hidden="1" ht="14.35" customHeight="1"/>
    <row r="306" hidden="1" ht="14.35" customHeight="1"/>
    <row r="307" hidden="1" ht="14.35" customHeight="1"/>
    <row r="308" hidden="1" ht="14.35" customHeight="1"/>
    <row r="309" hidden="1" ht="14.35" customHeight="1"/>
    <row r="310" hidden="1" ht="14.35" customHeight="1"/>
    <row r="311" hidden="1" ht="14.35" customHeight="1"/>
    <row r="312" hidden="1" ht="14.35" customHeight="1"/>
    <row r="313" hidden="1" ht="14.35" customHeight="1"/>
    <row r="314" hidden="1" ht="14.35" customHeight="1"/>
    <row r="315" hidden="1" ht="14.35" customHeight="1"/>
    <row r="316" hidden="1" ht="14.35" customHeight="1"/>
    <row r="317" hidden="1" ht="14.35" customHeight="1"/>
    <row r="318" hidden="1" ht="14.35" customHeight="1"/>
    <row r="319" hidden="1" ht="14.35" customHeight="1"/>
    <row r="320" hidden="1" ht="14.35" customHeight="1"/>
    <row r="321" hidden="1" ht="14.35" customHeight="1"/>
    <row r="322" hidden="1" ht="14.35" customHeight="1"/>
    <row r="323" hidden="1" ht="14.35" customHeight="1"/>
    <row r="324" hidden="1" ht="14.35" customHeight="1"/>
    <row r="325" hidden="1" ht="14.35" customHeight="1"/>
    <row r="326" hidden="1" ht="14.35" customHeight="1"/>
    <row r="327" hidden="1" ht="14.35" customHeight="1"/>
    <row r="328" hidden="1" ht="14.35" customHeight="1"/>
    <row r="329" hidden="1" ht="14.35" customHeight="1"/>
    <row r="330" hidden="1" ht="14.35" customHeight="1"/>
    <row r="331" hidden="1" ht="14.35" customHeight="1"/>
    <row r="332" hidden="1" ht="14.35" customHeight="1"/>
    <row r="333" hidden="1" ht="14.35" customHeight="1"/>
    <row r="334" hidden="1" ht="14.35" customHeight="1"/>
    <row r="335" hidden="1" ht="14.35" customHeight="1"/>
    <row r="336" hidden="1" ht="14.35" customHeight="1"/>
    <row r="337" hidden="1" ht="14.35" customHeight="1"/>
    <row r="338" hidden="1" ht="14.35" customHeight="1"/>
    <row r="339" hidden="1" ht="14.35" customHeight="1"/>
    <row r="340" hidden="1" ht="14.35" customHeight="1"/>
    <row r="341" hidden="1" ht="14.35" customHeight="1"/>
    <row r="342" hidden="1" ht="14.35" customHeight="1"/>
    <row r="343" hidden="1" ht="14.35" customHeight="1"/>
    <row r="344" hidden="1" ht="14.35" customHeight="1"/>
    <row r="345" hidden="1" ht="14.35" customHeight="1"/>
    <row r="346" hidden="1" ht="14.35" customHeight="1"/>
    <row r="347" hidden="1" ht="14.35" customHeight="1"/>
    <row r="348" hidden="1" ht="14.35" customHeight="1"/>
    <row r="349" hidden="1" ht="14.35" customHeight="1"/>
    <row r="350" hidden="1" ht="14.35" customHeight="1"/>
    <row r="351" hidden="1" ht="14.35" customHeight="1"/>
    <row r="352" hidden="1" ht="14.35" customHeight="1"/>
    <row r="353" hidden="1" ht="14.35" customHeight="1"/>
    <row r="354" hidden="1" ht="14.35" customHeight="1"/>
    <row r="355" hidden="1" ht="14.35" customHeight="1"/>
    <row r="356" hidden="1" ht="14.35" customHeight="1"/>
    <row r="357" hidden="1" ht="14.35" customHeight="1"/>
    <row r="358" hidden="1" ht="14.35" customHeight="1"/>
    <row r="359" hidden="1" ht="14.35" customHeight="1"/>
    <row r="360" hidden="1" ht="14.35" customHeight="1"/>
    <row r="361" hidden="1" ht="14.35" customHeight="1"/>
    <row r="362" hidden="1" ht="14.35" customHeight="1"/>
    <row r="363" hidden="1" ht="14.35" customHeight="1"/>
    <row r="364" hidden="1" ht="14.35" customHeight="1"/>
    <row r="365" hidden="1" ht="14.35" customHeight="1"/>
    <row r="366" hidden="1" ht="14.35" customHeight="1"/>
    <row r="367" hidden="1" ht="14.35" customHeight="1"/>
    <row r="368" hidden="1" ht="14.35" customHeight="1"/>
    <row r="369" hidden="1" ht="14.35" customHeight="1"/>
    <row r="370" hidden="1" ht="14.35" customHeight="1"/>
    <row r="371" hidden="1" ht="14.35" customHeight="1"/>
    <row r="372" hidden="1" ht="14.35" customHeight="1"/>
    <row r="373" hidden="1" ht="14.35" customHeight="1"/>
    <row r="374" hidden="1" ht="14.35" customHeight="1"/>
    <row r="375" hidden="1" ht="14.35" customHeight="1"/>
    <row r="376" hidden="1" ht="14.35" customHeight="1"/>
    <row r="377" hidden="1" ht="14.35" customHeight="1"/>
    <row r="378" hidden="1" ht="14.35" customHeight="1"/>
    <row r="379" hidden="1" ht="14.35" customHeight="1"/>
    <row r="380" hidden="1" ht="14.35" customHeight="1"/>
    <row r="381" hidden="1" ht="14.35" customHeight="1"/>
    <row r="382" hidden="1" ht="14.35" customHeight="1"/>
    <row r="383" hidden="1" ht="14.35" customHeight="1"/>
    <row r="384" hidden="1" ht="14.35" customHeight="1"/>
    <row r="385" hidden="1" ht="14.35" customHeight="1"/>
    <row r="386" hidden="1" ht="14.35" customHeight="1"/>
    <row r="387" hidden="1" ht="14.35" customHeight="1"/>
    <row r="388" hidden="1" ht="14.35" customHeight="1"/>
    <row r="389" hidden="1" ht="14.35" customHeight="1"/>
    <row r="390" hidden="1" ht="14.35" customHeight="1"/>
    <row r="391" hidden="1" ht="14.35" customHeight="1"/>
    <row r="392" hidden="1" ht="14.35" customHeight="1"/>
    <row r="393" hidden="1" ht="14.35" customHeight="1"/>
    <row r="394" hidden="1" ht="14.35" customHeight="1"/>
    <row r="395" hidden="1" ht="14.35" customHeight="1"/>
    <row r="396" hidden="1" ht="14.35" customHeight="1"/>
    <row r="397" hidden="1" ht="14.35" customHeight="1"/>
    <row r="398" hidden="1" ht="14.35" customHeight="1"/>
    <row r="399" hidden="1" ht="14.35" customHeight="1"/>
    <row r="400" hidden="1" ht="14.35" customHeight="1"/>
    <row r="401" hidden="1" ht="14.35" customHeight="1"/>
    <row r="402" hidden="1" ht="14.35" customHeight="1"/>
    <row r="403" hidden="1" ht="14.35" customHeight="1"/>
    <row r="404" hidden="1" ht="14.35" customHeight="1"/>
    <row r="405" hidden="1" ht="14.35" customHeight="1"/>
    <row r="406" hidden="1" ht="14.35" customHeight="1"/>
    <row r="407" hidden="1" ht="14.35" customHeight="1"/>
    <row r="408" hidden="1" ht="14.35" customHeight="1"/>
    <row r="409" hidden="1" ht="14.35" customHeight="1"/>
    <row r="410" hidden="1" ht="14.35" customHeight="1"/>
    <row r="411" hidden="1" ht="14.35" customHeight="1"/>
    <row r="412" hidden="1" ht="14.35" customHeight="1"/>
    <row r="413" hidden="1" ht="14.35" customHeight="1"/>
    <row r="414" hidden="1" ht="14.35" customHeight="1"/>
    <row r="415" hidden="1" ht="14.35" customHeight="1"/>
    <row r="416" hidden="1" ht="14.35" customHeight="1"/>
    <row r="417" hidden="1" ht="14.35" customHeight="1"/>
    <row r="418" hidden="1" ht="14.35" customHeight="1"/>
    <row r="419" hidden="1" ht="14.35" customHeight="1"/>
    <row r="420" hidden="1" ht="14.35" customHeight="1"/>
    <row r="421" hidden="1" ht="14.35" customHeight="1"/>
    <row r="422" hidden="1" ht="14.35" customHeight="1"/>
    <row r="423" hidden="1" ht="14.35" customHeight="1"/>
    <row r="424" hidden="1" ht="14.35" customHeight="1"/>
    <row r="425" hidden="1" ht="14.35" customHeight="1"/>
    <row r="426" hidden="1" ht="14.35" customHeight="1"/>
    <row r="427" hidden="1" ht="14.35" customHeight="1"/>
    <row r="428" hidden="1" ht="14.35" customHeight="1"/>
  </sheetData>
  <mergeCells count="4">
    <mergeCell ref="C178:C182"/>
    <mergeCell ref="M178:M182"/>
    <mergeCell ref="M188:M192"/>
    <mergeCell ref="C188:C192"/>
  </mergeCells>
  <dataValidations count="1">
    <dataValidation sqref="T9" showDropDown="0" showInputMessage="1" showErrorMessage="1" allowBlank="1" type="list">
      <formula1>"Multiple, Premium"</formula1>
    </dataValidation>
  </dataValidations>
  <pageMargins left="0.7" right="0.7" top="0.75" bottom="0.75" header="0.3" footer="0.3"/>
  <pageSetup orientation="portrait" scale="46"/>
</worksheet>
</file>

<file path=xl/worksheets/sheet17.xml><?xml version="1.0" encoding="utf-8"?>
<worksheet xmlns="http://schemas.openxmlformats.org/spreadsheetml/2006/main">
  <sheetPr>
    <tabColor rgb="FF16395B"/>
    <outlinePr summaryBelow="1" summaryRight="1"/>
    <pageSetUpPr/>
  </sheetPr>
  <dimension ref="A1:A1"/>
  <sheetViews>
    <sheetView view="pageBreakPreview" zoomScale="70" zoomScaleNormal="100" zoomScaleSheetLayoutView="70" workbookViewId="0">
      <selection activeCell="A1" sqref="A1"/>
    </sheetView>
  </sheetViews>
  <sheetFormatPr baseColWidth="8" defaultRowHeight="12.75"/>
  <sheetData/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tabColor rgb="FF0000FF"/>
    <outlinePr summaryBelow="1" summaryRight="1"/>
    <pageSetUpPr/>
  </sheetPr>
  <dimension ref="A1:A1"/>
  <sheetViews>
    <sheetView showGridLines="0" zoomScale="70" zoomScaleNormal="70" workbookViewId="0">
      <selection activeCell="A1" sqref="A1"/>
    </sheetView>
  </sheetViews>
  <sheetFormatPr baseColWidth="8" defaultRowHeight="12.7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J1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" customWidth="1" min="9" max="9"/>
    <col width="95" customWidth="1" min="10" max="10"/>
  </cols>
  <sheetData>
    <row r="2">
      <c r="B2" s="901" t="inlineStr">
        <is>
          <t>Copart, Inc. (CPRT) - Support: scenarios, bridges, cross-checks ($ in millions except per share)</t>
        </is>
      </c>
    </row>
    <row r="3">
      <c r="B3" s="738" t="inlineStr">
        <is>
          <t>Valuation date and market data (September 30, 2026)</t>
        </is>
      </c>
      <c r="C3" s="739" t="n"/>
      <c r="D3" s="739" t="n"/>
      <c r="E3" s="739" t="n"/>
      <c r="F3" s="739" t="n"/>
      <c r="G3" s="739" t="n"/>
      <c r="H3" s="739" t="n"/>
      <c r="I3" s="739" t="n"/>
      <c r="J3" s="739" t="n"/>
    </row>
    <row r="4">
      <c r="B4" s="741" t="inlineStr">
        <is>
          <t>Share price ($)</t>
        </is>
      </c>
      <c r="D4" s="902" t="n">
        <v>27.36</v>
      </c>
      <c r="J4" s="741" t="inlineStr">
        <is>
          <t>Memo / Yahoo Finance close 9/30/2026</t>
        </is>
      </c>
    </row>
    <row r="5">
      <c r="B5" s="741" t="inlineStr">
        <is>
          <t>Market cap ($M)</t>
        </is>
      </c>
      <c r="D5" s="903" t="n">
        <v>25300</v>
      </c>
      <c r="J5" s="741" t="inlineStr">
        <is>
          <t>Memo: $25.3B on 9/30/2026</t>
        </is>
      </c>
    </row>
    <row r="6">
      <c r="B6" s="741" t="inlineStr">
        <is>
          <t>Shares outstanding implied (M)</t>
        </is>
      </c>
      <c r="D6" s="904">
        <f>D5/D4</f>
        <v/>
      </c>
      <c r="J6" s="741" t="inlineStr">
        <is>
          <t>Derived = market cap / price. 10-K cover count not pulled; Q4 FY26 basic W.A. was 927.1M.</t>
        </is>
      </c>
    </row>
    <row r="7">
      <c r="B7" s="741" t="inlineStr">
        <is>
          <t>Cash &amp; securities, FY26 ($M)</t>
        </is>
      </c>
      <c r="D7" s="905">
        <f>'Financial Model'!J50</f>
        <v/>
      </c>
      <c r="J7" s="741" t="inlineStr">
        <is>
          <t>Cash, equivalents, restricted cash + HTM securities (memo $4.5B)</t>
        </is>
      </c>
    </row>
    <row r="8">
      <c r="B8" s="741" t="inlineStr">
        <is>
          <t>Debt (revolver + term loan), FY26</t>
        </is>
      </c>
      <c r="D8" s="905">
        <f>SUM('Financial Model'!J75:J76)</f>
        <v/>
      </c>
      <c r="J8" s="741" t="inlineStr">
        <is>
          <t>No debt outstanding; finance leases not separately disclosed on the balance sheet (immaterial) and sit in lease liabilities</t>
        </is>
      </c>
    </row>
    <row r="9">
      <c r="B9" s="741" t="inlineStr">
        <is>
          <t>Enterprise value ($M)</t>
        </is>
      </c>
      <c r="D9" s="906">
        <f>D5+D8-D7</f>
        <v/>
      </c>
      <c r="J9" s="741" t="inlineStr">
        <is>
          <t>Memo date EV</t>
        </is>
      </c>
    </row>
    <row r="10">
      <c r="B10" s="741" t="inlineStr">
        <is>
          <t>Street FY27 EPS ($) - reference only, not a driver</t>
        </is>
      </c>
      <c r="D10" s="902" t="n">
        <v>1.75</v>
      </c>
      <c r="J10" s="741" t="inlineStr">
        <is>
          <t>Memo / Yahoo consensus 9/30/2026</t>
        </is>
      </c>
    </row>
    <row r="11">
      <c r="B11" s="741" t="inlineStr">
        <is>
          <t>Later price print ($)</t>
        </is>
      </c>
      <c r="D11" s="902" t="n">
        <v>27.35</v>
      </c>
      <c r="J11" s="741" t="inlineStr">
        <is>
          <t>Motley Fool quote widget, retrieved 10/2/2026. Target downside is measured vs $27.36.</t>
        </is>
      </c>
    </row>
    <row r="12">
      <c r="B12" s="741" t="inlineStr">
        <is>
          <t>ACV cash consideration ($M) - used in model</t>
        </is>
      </c>
      <c r="D12" s="903" t="n">
        <v>1900</v>
      </c>
      <c r="J12" s="741" t="inlineStr">
        <is>
          <t>8-K Ex.99.1 9/10/2026: $10.50/sh, implied equity value ~$1.9B. Memo says ~$1.8B: filing wins. https://www.sec.gov/Archives/edgar/data/900075/000119312526388064/d138322dex991.htm</t>
        </is>
      </c>
    </row>
    <row r="13">
      <c r="B13" s="741" t="inlineStr">
        <is>
          <t>ACV consideration per memo ($M)</t>
        </is>
      </c>
      <c r="D13" s="903" t="n">
        <v>1800</v>
      </c>
      <c r="J13" s="741" t="inlineStr">
        <is>
          <t>Memo (footnoted; not used)</t>
        </is>
      </c>
    </row>
    <row r="14">
      <c r="B14" s="741" t="inlineStr">
        <is>
          <t>Published price target ($)</t>
        </is>
      </c>
      <c r="D14" s="902" t="n">
        <v>21.5</v>
      </c>
      <c r="J14" s="741" t="inlineStr">
        <is>
          <t>Memo headline. Memo Exhibit 2 prints $21.54; 15 x model EPS is in D36/E36.</t>
        </is>
      </c>
    </row>
    <row r="15">
      <c r="B15" s="738" t="inlineStr">
        <is>
          <t>Exhibit 2 - FY27E scenarios (switch drives the three statements via Drivers)</t>
        </is>
      </c>
      <c r="C15" s="739" t="n"/>
      <c r="D15" s="739" t="n"/>
      <c r="E15" s="739" t="n"/>
      <c r="F15" s="739" t="n"/>
      <c r="G15" s="739" t="n"/>
      <c r="H15" s="739" t="n"/>
      <c r="I15" s="739" t="n"/>
      <c r="J15" s="739" t="n"/>
    </row>
    <row r="16">
      <c r="B16" s="741" t="inlineStr">
        <is>
          <t>Scenario switch (1 = Bear, 2 = Base, 3 = Bull)</t>
        </is>
      </c>
      <c r="D16" s="907" t="n">
        <v>2</v>
      </c>
      <c r="J16" s="741" t="inlineStr">
        <is>
          <t>Base selected = printed case. Recommendation remains short at $21.50.</t>
        </is>
      </c>
    </row>
    <row r="18">
      <c r="D18" s="908" t="inlineStr">
        <is>
          <t>Bear</t>
        </is>
      </c>
      <c r="E18" s="908" t="inlineStr">
        <is>
          <t>Base</t>
        </is>
      </c>
      <c r="F18" s="908" t="inlineStr">
        <is>
          <t>Bull</t>
        </is>
      </c>
      <c r="G18" s="908" t="inlineStr">
        <is>
          <t>Live</t>
        </is>
      </c>
    </row>
    <row r="19">
      <c r="B19" s="741" t="inlineStr">
        <is>
          <t>Probability</t>
        </is>
      </c>
      <c r="D19" s="742" t="n">
        <v>0.25</v>
      </c>
      <c r="E19" s="742" t="n">
        <v>0.5</v>
      </c>
      <c r="F19" s="742" t="n">
        <v>0.25</v>
      </c>
    </row>
    <row r="20">
      <c r="B20" s="741" t="inlineStr">
        <is>
          <t>Units growth</t>
        </is>
      </c>
      <c r="D20" s="742" t="n">
        <v>-0.06</v>
      </c>
      <c r="E20" s="742" t="n">
        <v>-0.03</v>
      </c>
      <c r="F20" s="742" t="n">
        <v>0.02</v>
      </c>
      <c r="G20" s="744">
        <f>INDEX(D20:F20,1,$D$16)</f>
        <v/>
      </c>
    </row>
    <row r="21">
      <c r="B21" s="741" t="inlineStr">
        <is>
          <t>Revenue per unit growth</t>
        </is>
      </c>
      <c r="D21" s="742" t="n">
        <v>0.03</v>
      </c>
      <c r="E21" s="742" t="n">
        <v>0.04</v>
      </c>
      <c r="F21" s="742" t="n">
        <v>0.05</v>
      </c>
      <c r="G21" s="744">
        <f>INDEX(D21:F21,1,$D$16)</f>
        <v/>
      </c>
    </row>
    <row r="22">
      <c r="B22" s="741" t="inlineStr">
        <is>
          <t>Operating margin</t>
        </is>
      </c>
      <c r="D22" s="742" t="n">
        <v>0.31</v>
      </c>
      <c r="E22" s="742" t="n">
        <v>0.33</v>
      </c>
      <c r="F22" s="742" t="n">
        <v>0.365</v>
      </c>
      <c r="G22" s="744">
        <f>INDEX(D22:F22,1,$D$16)</f>
        <v/>
      </c>
    </row>
    <row r="23">
      <c r="B23" s="741" t="inlineStr">
        <is>
          <t>Other / interest income ($M)</t>
        </is>
      </c>
      <c r="D23" s="909" t="n">
        <v>110</v>
      </c>
      <c r="E23" s="909" t="n">
        <v>110</v>
      </c>
      <c r="F23" s="909" t="n">
        <v>110</v>
      </c>
      <c r="G23" s="904">
        <f>INDEX(D23:F23,1,$D$16)</f>
        <v/>
      </c>
    </row>
    <row r="24">
      <c r="B24" s="741" t="inlineStr">
        <is>
          <t>P/E multiple (x)</t>
        </is>
      </c>
      <c r="D24" s="792" t="n">
        <v>13</v>
      </c>
      <c r="E24" s="792" t="n">
        <v>15</v>
      </c>
      <c r="F24" s="792" t="n">
        <v>20</v>
      </c>
      <c r="G24" s="807">
        <f>INDEX(D24:F24,1,$D$16)</f>
        <v/>
      </c>
    </row>
    <row r="25">
      <c r="B25" s="741" t="inlineStr">
        <is>
          <t>Tax rate (FY24-FY26 average)</t>
        </is>
      </c>
      <c r="D25" s="744">
        <f>Drivers!$K$75</f>
        <v/>
      </c>
      <c r="E25" s="744">
        <f>Drivers!$K$75</f>
        <v/>
      </c>
      <c r="F25" s="744">
        <f>Drivers!$K$75</f>
        <v/>
      </c>
    </row>
    <row r="26">
      <c r="B26" s="741" t="inlineStr">
        <is>
          <t>Service revenue</t>
        </is>
      </c>
      <c r="D26" s="904">
        <f>'Financial Model'!$J$7*(1+D20)*(1+D21)</f>
        <v/>
      </c>
      <c r="E26" s="904">
        <f>'Financial Model'!$J$7*(1+E20)*(1+E21)</f>
        <v/>
      </c>
      <c r="F26" s="904">
        <f>'Financial Model'!$J$7*(1+F20)*(1+F21)</f>
        <v/>
      </c>
    </row>
    <row r="27">
      <c r="B27" s="741" t="inlineStr">
        <is>
          <t>Vehicle sales</t>
        </is>
      </c>
      <c r="D27" s="904">
        <f>'Financial Model'!$J$8*(1+D20)*(1+D21)</f>
        <v/>
      </c>
      <c r="E27" s="904">
        <f>'Financial Model'!$J$8*(1+E20)*(1+E21)</f>
        <v/>
      </c>
      <c r="F27" s="904">
        <f>'Financial Model'!$J$8*(1+F20)*(1+F21)</f>
        <v/>
      </c>
    </row>
    <row r="28">
      <c r="B28" s="741" t="inlineStr">
        <is>
          <t>Total revenue</t>
        </is>
      </c>
      <c r="D28" s="904">
        <f>D26+D27</f>
        <v/>
      </c>
      <c r="E28" s="904">
        <f>E26+E27</f>
        <v/>
      </c>
      <c r="F28" s="904">
        <f>F26+F27</f>
        <v/>
      </c>
      <c r="G28" s="905">
        <f>'Financial Model'!K9</f>
        <v/>
      </c>
    </row>
    <row r="29">
      <c r="B29" s="741" t="inlineStr">
        <is>
          <t>Operating income</t>
        </is>
      </c>
      <c r="D29" s="904">
        <f>D28*D22</f>
        <v/>
      </c>
      <c r="E29" s="904">
        <f>E28*E22</f>
        <v/>
      </c>
      <c r="F29" s="904">
        <f>F28*F22</f>
        <v/>
      </c>
      <c r="G29" s="905">
        <f>'Financial Model'!K32</f>
        <v/>
      </c>
    </row>
    <row r="30">
      <c r="B30" s="741" t="inlineStr">
        <is>
          <t>Pre-tax income</t>
        </is>
      </c>
      <c r="D30" s="904">
        <f>D29+D23</f>
        <v/>
      </c>
      <c r="E30" s="904">
        <f>E29+E23</f>
        <v/>
      </c>
      <c r="F30" s="904">
        <f>F29+F23</f>
        <v/>
      </c>
    </row>
    <row r="31">
      <c r="B31" s="741" t="inlineStr">
        <is>
          <t>Net income</t>
        </is>
      </c>
      <c r="D31" s="904">
        <f>D30*(1-D25)</f>
        <v/>
      </c>
      <c r="E31" s="904">
        <f>E30*(1-E25)</f>
        <v/>
      </c>
      <c r="F31" s="904">
        <f>F30*(1-F25)</f>
        <v/>
      </c>
      <c r="G31" s="905">
        <f>'Financial Model'!K41</f>
        <v/>
      </c>
    </row>
    <row r="32">
      <c r="B32" s="741" t="inlineStr">
        <is>
          <t>Diluted W.A. shares (M), no FY27E buyback</t>
        </is>
      </c>
      <c r="D32" s="904">
        <f>Drivers!$J$214+0.5*Drivers!$J$162*D28/$D$4</f>
        <v/>
      </c>
      <c r="E32" s="904">
        <f>Drivers!$J$214+0.5*Drivers!$J$162*E28/$D$4</f>
        <v/>
      </c>
      <c r="F32" s="904">
        <f>Drivers!$J$214+0.5*Drivers!$J$162*F28/$D$4</f>
        <v/>
      </c>
      <c r="G32" s="905">
        <f>'Multiples &amp; Ratios'!K57</f>
        <v/>
      </c>
    </row>
    <row r="33">
      <c r="B33" s="741" t="inlineStr">
        <is>
          <t>FY27E EPS ($) - computed</t>
        </is>
      </c>
      <c r="D33" s="751">
        <f>D31/D32</f>
        <v/>
      </c>
      <c r="E33" s="751">
        <f>E31/E32</f>
        <v/>
      </c>
      <c r="F33" s="751">
        <f>F31/F32</f>
        <v/>
      </c>
      <c r="G33" s="750">
        <f>'Multiples &amp; Ratios'!K28</f>
        <v/>
      </c>
      <c r="J33" s="741" t="inlineStr">
        <is>
          <t>Live column = three-statement model output (Financial Model / Multiples &amp; Ratios). D:F are a closed-form replica so all three scenarios print at once.</t>
        </is>
      </c>
    </row>
    <row r="34">
      <c r="B34" s="741" t="inlineStr">
        <is>
          <t>FY27E EPS ($) - memo Exhibit 2</t>
        </is>
      </c>
      <c r="D34" s="902" t="n">
        <v>1.3</v>
      </c>
      <c r="E34" s="902" t="n">
        <v>1.44</v>
      </c>
      <c r="F34" s="902" t="n">
        <v>1.7</v>
      </c>
    </row>
    <row r="35">
      <c r="B35" s="741" t="inlineStr">
        <is>
          <t>Computed less memo ($)</t>
        </is>
      </c>
      <c r="D35" s="910">
        <f>D33-D34</f>
        <v/>
      </c>
      <c r="E35" s="910">
        <f>E33-E34</f>
        <v/>
      </c>
      <c r="F35" s="910">
        <f>F33-F34</f>
        <v/>
      </c>
    </row>
    <row r="36">
      <c r="B36" s="741" t="inlineStr">
        <is>
          <t>Price target ($) = EPS x P/E</t>
        </is>
      </c>
      <c r="D36" s="751">
        <f>D33*D24</f>
        <v/>
      </c>
      <c r="E36" s="751">
        <f>E33*E24</f>
        <v/>
      </c>
      <c r="F36" s="751">
        <f>F33*F24</f>
        <v/>
      </c>
      <c r="G36" s="751">
        <f>G33*G24</f>
        <v/>
      </c>
    </row>
    <row r="37">
      <c r="B37" s="741" t="inlineStr">
        <is>
          <t>Price target ($) - memo Exhibit 2</t>
        </is>
      </c>
      <c r="D37" s="902" t="n">
        <v>16.84</v>
      </c>
      <c r="E37" s="902" t="n">
        <v>21.54</v>
      </c>
      <c r="F37" s="902" t="n">
        <v>33.9</v>
      </c>
    </row>
    <row r="38">
      <c r="B38" s="741" t="inlineStr">
        <is>
          <t>Target vs $27.36</t>
        </is>
      </c>
      <c r="D38" s="744">
        <f>D36/$D$4-1</f>
        <v/>
      </c>
      <c r="E38" s="744">
        <f>E36/$D$4-1</f>
        <v/>
      </c>
      <c r="F38" s="744">
        <f>F36/$D$4-1</f>
        <v/>
      </c>
      <c r="G38" s="744">
        <f>G36/$D$4-1</f>
        <v/>
      </c>
    </row>
    <row r="39">
      <c r="B39" s="741" t="inlineStr">
        <is>
          <t>EPS vs Street $1.75</t>
        </is>
      </c>
      <c r="D39" s="744">
        <f>D33/$D$10-1</f>
        <v/>
      </c>
      <c r="E39" s="744">
        <f>E33/$D$10-1</f>
        <v/>
      </c>
      <c r="F39" s="744">
        <f>F33/$D$10-1</f>
        <v/>
      </c>
      <c r="G39" s="744">
        <f>G33/$D$10-1</f>
        <v/>
      </c>
    </row>
    <row r="40">
      <c r="B40" s="741" t="inlineStr">
        <is>
          <t>Check: live model EPS less scenario-block EPS (must be 0)</t>
        </is>
      </c>
      <c r="G40" s="911">
        <f>ROUND(G33-INDEX(D33:F33,1,D16),4)</f>
        <v/>
      </c>
    </row>
    <row r="41">
      <c r="B41" s="741" t="inlineStr">
        <is>
          <t>Probability-weighted target ($) - note only</t>
        </is>
      </c>
      <c r="D41" s="751">
        <f>SUMPRODUCT(D19:F19,D36:F36)</f>
        <v/>
      </c>
      <c r="E41" s="902" t="n">
        <v>23.45</v>
      </c>
      <c r="J41" s="741" t="inlineStr">
        <is>
          <t>D = computed; E = memo. A note, not the recommendation.</t>
        </is>
      </c>
    </row>
    <row r="42">
      <c r="B42" s="741" t="inlineStr">
        <is>
          <t>Published target vs $27.36</t>
        </is>
      </c>
      <c r="D42" s="744">
        <f>D14/D4-1</f>
        <v/>
      </c>
    </row>
    <row r="43">
      <c r="B43" s="741" t="inlineStr">
        <is>
          <t>FY27E buybacks in live model ($M)</t>
        </is>
      </c>
      <c r="D43" s="905">
        <f>Drivers!K210</f>
        <v/>
      </c>
      <c r="J43" s="741" t="inlineStr">
        <is>
          <t>FY26 buybacks were $1,632.5M; ACV takes $1.9B of that cash.</t>
        </is>
      </c>
    </row>
    <row r="45">
      <c r="B45" s="738" t="inlineStr">
        <is>
          <t>EPS bridge: FY26A to FY27E (live scenario)</t>
        </is>
      </c>
      <c r="C45" s="739" t="n"/>
      <c r="D45" s="739" t="n"/>
      <c r="E45" s="739" t="n"/>
      <c r="F45" s="739" t="n"/>
      <c r="G45" s="739" t="n"/>
      <c r="H45" s="739" t="n"/>
      <c r="I45" s="739" t="n"/>
      <c r="J45" s="739" t="n"/>
    </row>
    <row r="46">
      <c r="B46" s="901" t="inlineStr">
        <is>
          <t>FY26A diluted EPS</t>
        </is>
      </c>
      <c r="D46" s="912">
        <f>'Multiples &amp; Ratios'!J28</f>
        <v/>
      </c>
    </row>
    <row r="47">
      <c r="B47" s="741" t="inlineStr">
        <is>
          <t>Volume (units)</t>
        </is>
      </c>
      <c r="D47" s="912">
        <f>'Financial Model'!J9*Drivers!K192*(1-'Financial Model'!$J$39)/'Multiples &amp; Ratios'!$J$57</f>
        <v/>
      </c>
    </row>
    <row r="48">
      <c r="B48" s="741" t="inlineStr">
        <is>
          <t>Price / mix (revenue per unit)</t>
        </is>
      </c>
      <c r="D48" s="912">
        <f>'Financial Model'!J9*(1+Drivers!K192)*Drivers!K203*(1-'Financial Model'!$J$39)/'Multiples &amp; Ratios'!$J$57</f>
        <v/>
      </c>
    </row>
    <row r="49">
      <c r="B49" s="741" t="inlineStr">
        <is>
          <t>Cost of vehicle sales</t>
        </is>
      </c>
      <c r="D49" s="912">
        <f>-('Financial Model'!K13-'Financial Model'!J13)*(1-'Financial Model'!$J$39)/'Multiples &amp; Ratios'!$J$57</f>
        <v/>
      </c>
    </row>
    <row r="50">
      <c r="B50" s="741" t="inlineStr">
        <is>
          <t>Facility cost (facility operations + D&amp;A)</t>
        </is>
      </c>
      <c r="D50" s="912">
        <f>-(('Financial Model'!K12-'Financial Model'!J12)+SUM('Financial Model'!K30:K31)-SUM('Financial Model'!J30:J31))*(1-'Financial Model'!$J$39)/'Multiples &amp; Ratios'!$J$57</f>
        <v/>
      </c>
      <c r="J50" s="741" t="inlineStr">
        <is>
          <t>Q4 FY26: revenue per car +5.4% vs US facility cost per car +14.2% (call).</t>
        </is>
      </c>
    </row>
    <row r="51">
      <c r="B51" s="741" t="inlineStr">
        <is>
          <t>G&amp;A</t>
        </is>
      </c>
      <c r="D51" s="912">
        <f>-('Financial Model'!K24-'Financial Model'!J24)*(1-'Financial Model'!$J$39)/'Multiples &amp; Ratios'!$J$57</f>
        <v/>
      </c>
    </row>
    <row r="52">
      <c r="B52" s="741" t="inlineStr">
        <is>
          <t>ACV cash: lost interest on $1.9B</t>
        </is>
      </c>
      <c r="D52" s="912">
        <f>-D12*Drivers!J208*(1-'Financial Model'!$J$39)/'Multiples &amp; Ratios'!$J$57</f>
        <v/>
      </c>
      <c r="J52" s="741" t="inlineStr">
        <is>
          <t>Memo: ~$0.06 of EPS before ACV's own losses.</t>
        </is>
      </c>
    </row>
    <row r="53">
      <c r="B53" s="741" t="inlineStr">
        <is>
          <t>Other interest / other income</t>
        </is>
      </c>
      <c r="D53" s="912">
        <f>-(('Financial Model'!K34+'Financial Model'!K35)-('Financial Model'!J34+'Financial Model'!J35))*(1-'Financial Model'!$J$39)/'Multiples &amp; Ratios'!$J$57-D52</f>
        <v/>
      </c>
    </row>
    <row r="54">
      <c r="B54" s="741" t="inlineStr">
        <is>
          <t>Tax rate</t>
        </is>
      </c>
      <c r="D54" s="912">
        <f>'Financial Model'!K36*('Financial Model'!J39-'Financial Model'!K39)/'Multiples &amp; Ratios'!J57</f>
        <v/>
      </c>
    </row>
    <row r="55">
      <c r="B55" s="741" t="inlineStr">
        <is>
          <t>Share count</t>
        </is>
      </c>
      <c r="D55" s="912">
        <f>'Financial Model'!K41/'Multiples &amp; Ratios'!K57-'Financial Model'!K41/'Multiples &amp; Ratios'!J57</f>
        <v/>
      </c>
    </row>
    <row r="56">
      <c r="B56" s="901" t="inlineStr">
        <is>
          <t>FY27E diluted EPS (bridge)</t>
        </is>
      </c>
      <c r="D56" s="912">
        <f>SUM(D46:D55)</f>
        <v/>
      </c>
    </row>
    <row r="57">
      <c r="B57" s="741" t="inlineStr">
        <is>
          <t>FY27E diluted EPS (model)</t>
        </is>
      </c>
      <c r="D57" s="912">
        <f>'Multiples &amp; Ratios'!K28</f>
        <v/>
      </c>
    </row>
    <row r="58">
      <c r="B58" s="741" t="inlineStr">
        <is>
          <t>Check (must be 0)</t>
        </is>
      </c>
      <c r="D58" s="912">
        <f>ROUND(D56-D57,4)</f>
        <v/>
      </c>
    </row>
    <row r="61">
      <c r="B61" s="738" t="inlineStr">
        <is>
          <t>Share-shift bridge (memo Exhibit 1B): Copart vs IAA, last 12 months</t>
        </is>
      </c>
      <c r="C61" s="739" t="n"/>
      <c r="D61" s="739" t="n"/>
      <c r="E61" s="739" t="n"/>
      <c r="F61" s="739" t="n"/>
      <c r="G61" s="739" t="n"/>
      <c r="H61" s="739" t="n"/>
      <c r="I61" s="739" t="n"/>
      <c r="J61" s="739" t="n"/>
    </row>
    <row r="62">
      <c r="B62" s="741" t="inlineStr">
        <is>
          <t>Copart unit growth, FY26</t>
        </is>
      </c>
      <c r="D62" s="742" t="n">
        <v>-0.055</v>
      </c>
      <c r="J62" s="741" t="inlineStr">
        <is>
          <t>Q4 FY26 call: fiscal 2026 units sold declined 5.5%</t>
        </is>
      </c>
    </row>
    <row r="63">
      <c r="B63" s="741" t="inlineStr">
        <is>
          <t>IAA unit growth, last 12 months</t>
        </is>
      </c>
      <c r="D63" s="742" t="n">
        <v>0.054</v>
      </c>
      <c r="J63" s="741" t="inlineStr">
        <is>
          <t>Memo (RB Global 10-Q/10-K filings)</t>
        </is>
      </c>
    </row>
    <row r="67">
      <c r="B67" s="741" t="inlineStr">
        <is>
          <t>Copart share of pool, prior year</t>
        </is>
      </c>
      <c r="D67" s="742" t="n">
        <v>0.639</v>
      </c>
      <c r="J67" s="741" t="inlineStr">
        <is>
          <t>Memo Exhibit 1B</t>
        </is>
      </c>
    </row>
    <row r="68">
      <c r="B68" s="741" t="inlineStr">
        <is>
          <t>Copart units, FY26 (M)</t>
        </is>
      </c>
      <c r="D68" s="752" t="n">
        <v>4</v>
      </c>
      <c r="J68" s="741" t="inlineStr">
        <is>
          <t>Memo base: Copart states &gt;4 million units sold (release boilerplate). Floor, not an exact count.</t>
        </is>
      </c>
    </row>
    <row r="69">
      <c r="B69" s="741" t="inlineStr">
        <is>
          <t>Copart units, prior year (M)</t>
        </is>
      </c>
      <c r="D69" s="745">
        <f>D68/(1+D62)</f>
        <v/>
      </c>
      <c r="J69" s="741" t="inlineStr"/>
    </row>
    <row r="70">
      <c r="B70" s="741" t="inlineStr">
        <is>
          <t>Combined pool growth</t>
        </is>
      </c>
      <c r="D70" s="744">
        <f>(D68+D72)/(D69+D71)-1</f>
        <v/>
      </c>
      <c r="J70" s="741" t="inlineStr">
        <is>
          <t>Memo: -1.6%</t>
        </is>
      </c>
    </row>
    <row r="71">
      <c r="B71" s="741" t="inlineStr">
        <is>
          <t>IAA units, prior year (M, implied)</t>
        </is>
      </c>
      <c r="D71" s="745">
        <f>D69*(1-D67)/D67</f>
        <v/>
      </c>
      <c r="J71" s="741" t="inlineStr">
        <is>
          <t>Implied by memo share</t>
        </is>
      </c>
    </row>
    <row r="72">
      <c r="B72" s="741" t="inlineStr">
        <is>
          <t>IAA units, current (M, implied)</t>
        </is>
      </c>
      <c r="D72" s="745">
        <f>D71*(1+D63)</f>
        <v/>
      </c>
      <c r="J72" s="741" t="inlineStr"/>
    </row>
    <row r="74">
      <c r="B74" s="741" t="inlineStr">
        <is>
          <t>Copart share of pool, current</t>
        </is>
      </c>
      <c r="D74" s="744">
        <f>D68/(D68+D72)</f>
        <v/>
      </c>
      <c r="J74" s="741" t="inlineStr">
        <is>
          <t>Memo: 61.4%</t>
        </is>
      </c>
    </row>
    <row r="75">
      <c r="B75" s="741" t="inlineStr">
        <is>
          <t>Share shift (pts)</t>
        </is>
      </c>
      <c r="D75" s="913">
        <f>(D74-D67)*100</f>
        <v/>
      </c>
      <c r="J75" s="741" t="inlineStr">
        <is>
          <t>Memo: -2.5 to -2.6 pts</t>
        </is>
      </c>
    </row>
    <row r="76">
      <c r="B76" s="741" t="inlineStr">
        <is>
          <t>Cars lost to share shift (000s)</t>
        </is>
      </c>
      <c r="D76" s="906">
        <f>(D67*(D68+D72)-D68)*1000</f>
        <v/>
      </c>
      <c r="J76" s="741" t="inlineStr">
        <is>
          <t>Memo: ~167k</t>
        </is>
      </c>
    </row>
    <row r="77">
      <c r="B77" s="741" t="inlineStr">
        <is>
          <t>Service revenue per unit, FY26 ($)</t>
        </is>
      </c>
      <c r="D77" s="914">
        <f>Drivers!J11</f>
        <v/>
      </c>
      <c r="J77" s="741" t="inlineStr">
        <is>
          <t>Service revenues / units</t>
        </is>
      </c>
    </row>
    <row r="78">
      <c r="B78" s="741" t="inlineStr">
        <is>
          <t>Service revenue lost ($M)</t>
        </is>
      </c>
      <c r="D78" s="904">
        <f>D76*D77/1000</f>
        <v/>
      </c>
      <c r="J78" s="741" t="inlineStr">
        <is>
          <t>Memo: ~$166M, ~4% of service revenue</t>
        </is>
      </c>
    </row>
    <row r="79">
      <c r="B79" s="741" t="inlineStr">
        <is>
          <t>Share shift at 4.5M Copart units, IAA units fixed (pts)</t>
        </is>
      </c>
      <c r="D79" s="913">
        <f>(4.5/(4.5+D72)-(4.5/(1+D62))/(4.5/(1+D62)+D71))*100</f>
        <v/>
      </c>
      <c r="J79" s="741" t="inlineStr">
        <is>
          <t>Memo: range -2.5 to -2.6 pts across 4.0-4.5M units</t>
        </is>
      </c>
    </row>
    <row r="80">
      <c r="B80" s="741" t="inlineStr">
        <is>
          <t>Progressive share of salvage sent to IAA</t>
        </is>
      </c>
      <c r="D80" s="742" t="n">
        <v>0.9</v>
      </c>
      <c r="J80" s="741" t="inlineStr">
        <is>
          <t>Memo / industry press (~90%)</t>
        </is>
      </c>
    </row>
    <row r="82">
      <c r="B82" s="738" t="inlineStr">
        <is>
          <t>Consensus comparison (reference only)</t>
        </is>
      </c>
      <c r="C82" s="739" t="n"/>
      <c r="D82" s="739" t="n"/>
      <c r="E82" s="739" t="n"/>
      <c r="F82" s="739" t="n"/>
      <c r="G82" s="739" t="n"/>
      <c r="H82" s="739" t="n"/>
      <c r="I82" s="739" t="n"/>
      <c r="J82" s="739" t="n"/>
    </row>
    <row r="83">
      <c r="B83" s="741" t="inlineStr">
        <is>
          <t>Street FY27 EPS</t>
        </is>
      </c>
      <c r="D83" s="751">
        <f>D10</f>
        <v/>
      </c>
      <c r="J83" s="741" t="inlineStr"/>
    </row>
    <row r="84">
      <c r="B84" s="741" t="inlineStr">
        <is>
          <t>Model FY27E EPS</t>
        </is>
      </c>
      <c r="D84" s="751">
        <f>G33</f>
        <v/>
      </c>
      <c r="J84" s="741" t="inlineStr"/>
    </row>
    <row r="85">
      <c r="B85" s="741" t="inlineStr">
        <is>
          <t>Model vs Street</t>
        </is>
      </c>
      <c r="D85" s="744">
        <f>D84/D83-1</f>
        <v/>
      </c>
      <c r="J85" s="741" t="inlineStr">
        <is>
          <t>Memo: 18% below</t>
        </is>
      </c>
    </row>
    <row r="86">
      <c r="B86" s="741" t="inlineStr">
        <is>
          <t>Street FY27 growth vs FY26 GAAP EPS</t>
        </is>
      </c>
      <c r="D86" s="744">
        <f>D83/'Multiples &amp; Ratios'!J28-1</f>
        <v/>
      </c>
      <c r="J86" s="741" t="inlineStr">
        <is>
          <t>Memo says +11%; on reported FY26 EPS of $1.55 it is +12.8% (flag).</t>
        </is>
      </c>
    </row>
    <row r="87">
      <c r="B87" s="738" t="inlineStr">
        <is>
          <t>DCF cross-check (not the price target)</t>
        </is>
      </c>
      <c r="C87" s="739" t="n"/>
      <c r="D87" s="739" t="n"/>
      <c r="E87" s="739" t="n"/>
      <c r="F87" s="739" t="n"/>
      <c r="G87" s="739" t="n"/>
      <c r="H87" s="739" t="n"/>
      <c r="I87" s="739" t="n"/>
      <c r="J87" s="739" t="n"/>
    </row>
    <row r="88">
      <c r="B88" s="741" t="inlineStr">
        <is>
          <t>DCF enterprise value</t>
        </is>
      </c>
      <c r="D88" s="906">
        <f>DCF!P24</f>
        <v/>
      </c>
      <c r="J88" s="741" t="inlineStr"/>
    </row>
    <row r="89">
      <c r="B89" s="741" t="inlineStr">
        <is>
          <t>Plus: cash &amp; securities after ACV payment</t>
        </is>
      </c>
      <c r="D89" s="906">
        <f>'Financial Model'!J50+Drivers!K171</f>
        <v/>
      </c>
      <c r="J89" s="741" t="inlineStr">
        <is>
          <t>ACV carried at zero value in the DCF (no contribution underwritten)</t>
        </is>
      </c>
    </row>
    <row r="90">
      <c r="B90" s="741" t="inlineStr">
        <is>
          <t>Less: debt</t>
        </is>
      </c>
      <c r="D90" s="906">
        <f>-D8</f>
        <v/>
      </c>
      <c r="J90" s="741" t="inlineStr"/>
    </row>
    <row r="91">
      <c r="B91" s="741" t="inlineStr">
        <is>
          <t>Equity value</t>
        </is>
      </c>
      <c r="D91" s="906">
        <f>SUM(D88:D90)</f>
        <v/>
      </c>
      <c r="J91" s="741" t="inlineStr"/>
    </row>
    <row r="92">
      <c r="B92" s="741" t="inlineStr">
        <is>
          <t>Per share ($)</t>
        </is>
      </c>
      <c r="D92" s="751">
        <f>D91/D6</f>
        <v/>
      </c>
      <c r="J92" s="741" t="inlineStr"/>
    </row>
    <row r="93">
      <c r="B93" s="741" t="inlineStr">
        <is>
          <t>DCF per share vs $21.50 target</t>
        </is>
      </c>
      <c r="D93" s="744">
        <f>D92/D14-1</f>
        <v/>
      </c>
      <c r="J93" s="741" t="inlineStr">
        <is>
          <t>If beyond +/-15%, see Model Notes</t>
        </is>
      </c>
    </row>
    <row r="94">
      <c r="B94" s="741" t="inlineStr">
        <is>
          <t>WACC</t>
        </is>
      </c>
      <c r="D94" s="749">
        <f>DCF!P61</f>
        <v/>
      </c>
      <c r="J94" s="741" t="inlineStr"/>
    </row>
    <row r="95">
      <c r="B95" s="741" t="inlineStr">
        <is>
          <t>Implied exit EV/EBITDA on FY36E</t>
        </is>
      </c>
      <c r="D95" s="807">
        <f>DCF!P20/'Financial Model'!T27</f>
        <v/>
      </c>
      <c r="J95" s="741" t="inlineStr">
        <is>
          <t>Terminal value / terminal-year EBITDA</t>
        </is>
      </c>
    </row>
    <row r="96">
      <c r="B96" s="741" t="inlineStr">
        <is>
          <t>Terminal value share of EV</t>
        </is>
      </c>
      <c r="D96" s="744">
        <f>DCF!P22/DCF!P24</f>
        <v/>
      </c>
      <c r="J96" s="741" t="inlineStr"/>
    </row>
    <row r="97">
      <c r="B97" s="741" t="inlineStr">
        <is>
          <t>Per share with ACV at cost ($)</t>
        </is>
      </c>
      <c r="D97" s="751">
        <f>(D91+D12)/D6</f>
        <v/>
      </c>
      <c r="J97" s="741" t="inlineStr">
        <is>
          <t>Sensitivity only</t>
        </is>
      </c>
    </row>
    <row r="99">
      <c r="B99" s="738" t="inlineStr">
        <is>
          <t>Football field ($ per share)</t>
        </is>
      </c>
      <c r="C99" s="739" t="n"/>
      <c r="D99" s="739" t="n"/>
      <c r="E99" s="739" t="n"/>
      <c r="F99" s="739" t="n"/>
      <c r="G99" s="739" t="n"/>
      <c r="H99" s="739" t="n"/>
      <c r="I99" s="739" t="n"/>
      <c r="J99" s="739" t="n"/>
    </row>
    <row r="100">
      <c r="B100" s="741" t="inlineStr">
        <is>
          <t>Price, 9/30/2026</t>
        </is>
      </c>
      <c r="D100" s="751">
        <f>D4</f>
        <v/>
      </c>
      <c r="J100" s="741" t="inlineStr"/>
    </row>
    <row r="101">
      <c r="B101" s="741" t="inlineStr">
        <is>
          <t>Copart trailing P/E on memo date (x)</t>
        </is>
      </c>
      <c r="D101" s="807">
        <f>D4/'Multiples &amp; Ratios'!J28</f>
        <v/>
      </c>
      <c r="J101" s="741" t="inlineStr">
        <is>
          <t>Memo 17.6x</t>
        </is>
      </c>
    </row>
    <row r="102">
      <c r="B102" s="741" t="inlineStr">
        <is>
          <t>Copart EV/EBITDA on memo date (x)</t>
        </is>
      </c>
      <c r="D102" s="807">
        <f>D9/'Financial Model'!J27</f>
        <v/>
      </c>
      <c r="J102" s="741" t="inlineStr">
        <is>
          <t>Model 11.0x vs memo 11.1x (memo appears to use IS D&amp;A captions; model uses CFS D&amp;A per brief)</t>
        </is>
      </c>
    </row>
    <row r="103">
      <c r="B103" s="741" t="inlineStr">
        <is>
          <t>Target: 15x FY27E EPS (primary)</t>
        </is>
      </c>
      <c r="D103" s="751">
        <f>E36</f>
        <v/>
      </c>
      <c r="J103" s="741" t="inlineStr">
        <is>
          <t>Published $21.50</t>
        </is>
      </c>
    </row>
    <row r="104">
      <c r="B104" s="741" t="inlineStr">
        <is>
          <t>Bear: 13x</t>
        </is>
      </c>
      <c r="D104" s="751">
        <f>D36</f>
        <v/>
      </c>
      <c r="J104" s="741" t="inlineStr"/>
    </row>
    <row r="105">
      <c r="B105" s="741" t="inlineStr">
        <is>
          <t>Bull: 20x</t>
        </is>
      </c>
      <c r="D105" s="751">
        <f>F36</f>
        <v/>
      </c>
      <c r="J105" s="741" t="inlineStr"/>
    </row>
    <row r="106">
      <c r="B106" s="741" t="inlineStr">
        <is>
          <t>RBA multiple 16.8x on FY27E EPS</t>
        </is>
      </c>
      <c r="D106" s="751">
        <f>16.8*E33</f>
        <v/>
      </c>
      <c r="J106" s="741" t="inlineStr">
        <is>
          <t>Target is a discount to RBA (gaining the share Copart is losing)</t>
        </is>
      </c>
    </row>
    <row r="107">
      <c r="B107" s="741" t="inlineStr">
        <is>
          <t>LKQ multiple 7.4x on FY27E EPS (floor)</t>
        </is>
      </c>
      <c r="D107" s="751">
        <f>7.4*E33</f>
        <v/>
      </c>
      <c r="J107" s="741" t="inlineStr">
        <is>
          <t>Floor reference only</t>
        </is>
      </c>
    </row>
    <row r="108">
      <c r="B108" s="741" t="inlineStr">
        <is>
          <t>Trailing 17.6x on FY27E EPS</t>
        </is>
      </c>
      <c r="D108" s="751">
        <f>D101*E33</f>
        <v/>
      </c>
      <c r="J108" s="741" t="inlineStr">
        <is>
          <t>No de-rating case</t>
        </is>
      </c>
    </row>
    <row r="109">
      <c r="B109" s="741" t="inlineStr">
        <is>
          <t>DCF per share (cross-check)</t>
        </is>
      </c>
      <c r="D109" s="751">
        <f>D92</f>
        <v/>
      </c>
      <c r="J109" s="741" t="inlineStr"/>
    </row>
    <row r="110">
      <c r="B110" s="741" t="inlineStr">
        <is>
          <t>Target-implied EV/EBITDA on FY27E (x)</t>
        </is>
      </c>
      <c r="D110" s="807">
        <f>(D14*D6-D89+D8)/'Financial Model'!K27</f>
        <v/>
      </c>
      <c r="J110" s="741" t="inlineStr">
        <is>
          <t>Memo 9.7x</t>
        </is>
      </c>
    </row>
    <row r="111">
      <c r="B111" s="741" t="inlineStr">
        <is>
          <t>P/E on model FY27E EPS at $27.36 (x)</t>
        </is>
      </c>
      <c r="D111" s="807">
        <f>D4/E33</f>
        <v/>
      </c>
      <c r="J111" s="741" t="inlineStr">
        <is>
          <t>Memo 19x</t>
        </is>
      </c>
    </row>
    <row r="113">
      <c r="B113" s="738" t="inlineStr">
        <is>
          <t>LBO floor (not the price target)</t>
        </is>
      </c>
      <c r="C113" s="739" t="n"/>
      <c r="D113" s="739" t="n"/>
      <c r="E113" s="739" t="n"/>
      <c r="F113" s="739" t="n"/>
      <c r="G113" s="739" t="n"/>
      <c r="H113" s="739" t="n"/>
      <c r="I113" s="739" t="n"/>
      <c r="J113" s="739" t="n"/>
    </row>
    <row r="114">
      <c r="B114" s="741" t="inlineStr">
        <is>
          <t>Sponsor 5-year IRR at $27.36, 0% premium</t>
        </is>
      </c>
      <c r="D114" s="743">
        <f>LBO!O166</f>
        <v/>
      </c>
      <c r="J114" s="741" t="inlineStr">
        <is>
          <t>A sponsor cannot clear a mid-teens IRR at the market price if this is below ~15%.</t>
        </is>
      </c>
    </row>
    <row r="115">
      <c r="B115" s="741" t="inlineStr">
        <is>
          <t>5-year MOIC</t>
        </is>
      </c>
      <c r="D115" s="915">
        <f>LBO!O165</f>
        <v/>
      </c>
      <c r="J115" s="741" t="inlineStr"/>
    </row>
    <row r="116">
      <c r="B116" s="741" t="inlineStr">
        <is>
          <t>Entry EV/EBITDA (FY27E)</t>
        </is>
      </c>
      <c r="D116" s="800">
        <f>LBO!T31</f>
        <v/>
      </c>
      <c r="J116" s="741" t="inlineStr"/>
    </row>
    <row r="118">
      <c r="B118" s="738" t="inlineStr">
        <is>
          <t>Memo facts preserved (cited as memo sources, not re-estimated)</t>
        </is>
      </c>
      <c r="C118" s="739" t="n"/>
      <c r="D118" s="739" t="n"/>
      <c r="E118" s="739" t="n"/>
      <c r="F118" s="739" t="n"/>
      <c r="G118" s="739" t="n"/>
      <c r="H118" s="739" t="n"/>
      <c r="I118" s="739" t="n"/>
      <c r="J118" s="739" t="n"/>
    </row>
    <row r="119">
      <c r="B119" s="741" t="inlineStr">
        <is>
          <t>~80% of volume from insurers (memo). International 19% of Q4 FY26 revenue: $222.1M / $1,152.4M = 19.3% (release).</t>
        </is>
      </c>
    </row>
    <row r="120">
      <c r="B120" s="741" t="inlineStr">
        <is>
          <t>Q4 FY26 US insurance units -7.5%; +2.3% without one lost customer (call). Collision claim frequency -3.4% y/y (call).</t>
        </is>
      </c>
    </row>
    <row r="121">
      <c r="B121" s="741" t="inlineStr">
        <is>
          <t>Q4 FY26: revenue per unit +5.4%, US facility cost per unit +14.2%, revenue +2.4%, operating income -10.6%, EPS -14.6% (call / release).</t>
        </is>
      </c>
    </row>
    <row r="122">
      <c r="B122" s="741" t="inlineStr">
        <is>
          <t>IAA has outgrown Copart US insurance units every quarter since early 2025 (memo, RB Global filings).</t>
        </is>
      </c>
    </row>
    <row r="123">
      <c r="B123" s="741" t="inlineStr">
        <is>
          <t>Insurance CPI +49% and repair CPI +57% since 2019; miles driven 2% above 2019 (BLS CPI, FRED/FHWA via memo). AEB mandatory Sep 2029 (NHTSA FMVSS 127); ~50% fewer rear-end crashes (IIHS).</t>
        </is>
      </c>
    </row>
    <row r="124">
      <c r="B124" s="741" t="inlineStr">
        <is>
          <t>Total-loss frequency 23.3% in Q2 2026 (CCC Crash Course 2026). 7% skipped a claim over rate worries (J.D. Power 2025).</t>
        </is>
      </c>
    </row>
    <row r="125">
      <c r="B125" s="741" t="inlineStr">
        <is>
          <t>Stop reference $32.60; short interest 4.6% of float, 3.3 days to cover (context only, not model inputs).</t>
        </is>
      </c>
    </row>
    <row r="126">
      <c r="B126" s="741" t="inlineStr">
        <is>
          <t>Catalysts: Q1 FY27 on Nov 19, 2026 (Street $0.40 vs $0.41); RB Global Q3 early Nov; ACV close by CY-end 2026; monthly CCC / insurer claim prints.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G206"/>
  <sheetViews>
    <sheetView showGridLines="0" workbookViewId="0">
      <selection activeCell="A1" sqref="A1"/>
    </sheetView>
  </sheetViews>
  <sheetFormatPr baseColWidth="8" defaultRowHeight="15"/>
  <cols>
    <col width="58" customWidth="1" min="2" max="2"/>
    <col width="40" customWidth="1" min="3" max="3"/>
    <col width="12" customWidth="1" min="4" max="4"/>
    <col width="58" customWidth="1" min="5" max="5"/>
    <col width="70" customWidth="1" min="6" max="6"/>
    <col width="90" customWidth="1" min="7" max="7"/>
  </cols>
  <sheetData>
    <row r="2">
      <c r="B2" s="738" t="inlineStr">
        <is>
          <t>Item / cell</t>
        </is>
      </c>
      <c r="C2" s="738" t="inlineStr">
        <is>
          <t>Value ($M unless noted)</t>
        </is>
      </c>
      <c r="D2" s="738" t="inlineStr">
        <is>
          <t>Period</t>
        </is>
      </c>
      <c r="E2" s="738" t="inlineStr">
        <is>
          <t>Filing / source</t>
        </is>
      </c>
      <c r="F2" s="738" t="inlineStr">
        <is>
          <t>Caption</t>
        </is>
      </c>
      <c r="G2" s="738" t="inlineStr">
        <is>
          <t>URL</t>
        </is>
      </c>
    </row>
    <row r="3">
      <c r="B3" s="916" t="inlineStr">
        <is>
          <t>Support!D4, D5, D10 price / market cap / Street EPS</t>
        </is>
      </c>
      <c r="C3" s="916" t="inlineStr">
        <is>
          <t>27.36 / 25,300 / 1.75</t>
        </is>
      </c>
      <c r="D3" s="916" t="inlineStr">
        <is>
          <t>9/30/2026</t>
        </is>
      </c>
      <c r="E3" s="916" t="inlineStr">
        <is>
          <t>CPRT_short_memo_v2.docx (Yahoo Finance prices and consensus)</t>
        </is>
      </c>
      <c r="F3" s="916" t="inlineStr">
        <is>
          <t>Header line; Valuation section</t>
        </is>
      </c>
      <c r="G3" s="916" t="inlineStr">
        <is>
          <t>n/a (memo)</t>
        </is>
      </c>
    </row>
    <row r="4">
      <c r="B4" s="916" t="inlineStr">
        <is>
          <t>Support D19:F24 scenario drivers</t>
        </is>
      </c>
      <c r="C4" s="916" t="inlineStr">
        <is>
          <t>see sheet</t>
        </is>
      </c>
      <c r="D4" s="916" t="inlineStr">
        <is>
          <t>FY27E</t>
        </is>
      </c>
      <c r="E4" s="916" t="inlineStr">
        <is>
          <t>Memo Exhibit 2</t>
        </is>
      </c>
      <c r="F4" s="916" t="inlineStr">
        <is>
          <t>FY27 EPS scenarios and price targets</t>
        </is>
      </c>
      <c r="G4" s="916" t="inlineStr">
        <is>
          <t>n/a (memo)</t>
        </is>
      </c>
    </row>
    <row r="5">
      <c r="B5" s="916" t="inlineStr">
        <is>
          <t>Other income $110M FY27E</t>
        </is>
      </c>
      <c r="C5" s="916" t="inlineStr">
        <is>
          <t>110</t>
        </is>
      </c>
      <c r="D5" s="916" t="inlineStr">
        <is>
          <t>FY27E</t>
        </is>
      </c>
      <c r="E5" s="916" t="inlineStr">
        <is>
          <t>Memo, Thesis 3 / Valuation</t>
        </is>
      </c>
      <c r="F5" s="916" t="inlineStr">
        <is>
          <t>Other income after the ACV payment</t>
        </is>
      </c>
      <c r="G5" s="916" t="inlineStr">
        <is>
          <t>n/a (memo)</t>
        </is>
      </c>
    </row>
    <row r="6">
      <c r="B6" s="916" t="inlineStr">
        <is>
          <t>ACV consideration</t>
        </is>
      </c>
      <c r="C6" s="916" t="inlineStr">
        <is>
          <t>1,900</t>
        </is>
      </c>
      <c r="D6" s="916" t="inlineStr">
        <is>
          <t>9/10/2026</t>
        </is>
      </c>
      <c r="E6" s="916" t="inlineStr">
        <is>
          <t>Copart 8-K Ex.99.1</t>
        </is>
      </c>
      <c r="F6" s="916" t="inlineStr">
        <is>
          <t>$10.50 per share, implied equity value ~$1.9B; accretive in fiscal 2028</t>
        </is>
      </c>
      <c r="G6" s="916" t="inlineStr">
        <is>
          <t>https://www.sec.gov/Archives/edgar/data/900075/000119312526388064/d138322dex991.htm</t>
        </is>
      </c>
    </row>
    <row r="7">
      <c r="B7" s="916" t="inlineStr">
        <is>
          <t>FY26 10-K (filed 9/28/2026)</t>
        </is>
      </c>
      <c r="C7" s="916" t="inlineStr">
        <is>
          <t>reference</t>
        </is>
      </c>
      <c r="D7" s="916" t="inlineStr">
        <is>
          <t>FY2026</t>
        </is>
      </c>
      <c r="E7" s="916" t="inlineStr">
        <is>
          <t>Form 10-K</t>
        </is>
      </c>
      <c r="F7" s="916" t="inlineStr">
        <is>
          <t>Audited statements; release figures used for inputs</t>
        </is>
      </c>
      <c r="G7" s="916" t="inlineStr">
        <is>
          <t>https://www.sec.gov/Archives/edgar/data/900075/000119312526405731/cprt-20260731.htm</t>
        </is>
      </c>
    </row>
    <row r="8">
      <c r="B8" s="916" t="inlineStr">
        <is>
          <t>Unit / per-car statistics</t>
        </is>
      </c>
      <c r="C8" s="916" t="inlineStr">
        <is>
          <t>see Drivers V192-V196, Support rows 119-126</t>
        </is>
      </c>
      <c r="D8" s="916" t="inlineStr">
        <is>
          <t>Q4 FY26</t>
        </is>
      </c>
      <c r="E8" s="916" t="inlineStr">
        <is>
          <t>Q4 FY26 earnings call transcript</t>
        </is>
      </c>
      <c r="F8" s="916" t="inlineStr">
        <is>
          <t>CEO / CFO prepared remarks</t>
        </is>
      </c>
      <c r="G8" s="916" t="inlineStr">
        <is>
          <t>https://www.fool.com/earnings/call-transcripts/2026/09/11/copart-cprt-q4-2026-earnings-call-transcript/</t>
        </is>
      </c>
    </row>
    <row r="9">
      <c r="B9" s="916" t="inlineStr">
        <is>
          <t>Industry stats (CCC, J.D. Power, IIHS, NHTSA FMVSS 127, BLS CPI, FRED)</t>
        </is>
      </c>
      <c r="C9" s="916" t="inlineStr">
        <is>
          <t>as cited</t>
        </is>
      </c>
      <c r="D9" s="916" t="inlineStr">
        <is>
          <t>various</t>
        </is>
      </c>
      <c r="E9" s="916" t="inlineStr">
        <is>
          <t>Memo source list</t>
        </is>
      </c>
      <c r="F9" s="916" t="inlineStr">
        <is>
          <t>Cited as memo sources, not re-estimated</t>
        </is>
      </c>
      <c r="G9" s="916" t="inlineStr">
        <is>
          <t>n/a (memo)</t>
        </is>
      </c>
    </row>
    <row r="10">
      <c r="B10" s="916" t="inlineStr">
        <is>
          <t>Ritchie Bros / IAA precedent</t>
        </is>
      </c>
      <c r="C10" s="916" t="inlineStr">
        <is>
          <t>7,300 EV; 13.6x</t>
        </is>
      </c>
      <c r="D10" s="916" t="inlineStr">
        <is>
          <t>11/7/2022</t>
        </is>
      </c>
      <c r="E10" s="916" t="inlineStr">
        <is>
          <t>Ritchie Bros 8-K Ex.99.1</t>
        </is>
      </c>
      <c r="F10" s="916" t="inlineStr">
        <is>
          <t>Transaction valued at ~$7.3B incl. $1.0B net debt; 13.6x LTM Adjusted EBITDA</t>
        </is>
      </c>
      <c r="G10" s="916" t="inlineStr">
        <is>
          <t>https://www.sec.gov/Archives/edgar/data/1046102/000110465922115108/tm2229848d1_ex99-1.htm</t>
        </is>
      </c>
    </row>
    <row r="11">
      <c r="B11" s="916" t="inlineStr">
        <is>
          <t>Hist!G9 Service revenues</t>
        </is>
      </c>
      <c r="C11" s="916" t="n">
        <v>3198.128</v>
      </c>
      <c r="D11" s="916" t="inlineStr">
        <is>
          <t>FY2023</t>
        </is>
      </c>
      <c r="E11" s="916" t="inlineStr">
        <is>
          <t>8-K Ex.99.1 (Q4 FY23 release, 9/14/2023) / FY23 10-K</t>
        </is>
      </c>
      <c r="F11" s="916" t="inlineStr">
        <is>
          <t>Service revenues</t>
        </is>
      </c>
      <c r="G11" s="916" t="inlineStr">
        <is>
          <t>https://www.sec.gov/Archives/edgar/data/900075/000090007523000027/cprt07312023ex99-1.htm</t>
        </is>
      </c>
    </row>
    <row r="12">
      <c r="B12" s="916" t="inlineStr">
        <is>
          <t>Hist!H9 Service revenues</t>
        </is>
      </c>
      <c r="C12" s="916" t="n">
        <v>3561.002</v>
      </c>
      <c r="D12" s="916" t="inlineStr">
        <is>
          <t>FY2024</t>
        </is>
      </c>
      <c r="E12" s="916" t="inlineStr">
        <is>
          <t>8-K Ex.99.1 (Q4 FY24 release, 9/4/2024) / FY24 10-K</t>
        </is>
      </c>
      <c r="F12" s="916" t="inlineStr">
        <is>
          <t>Service revenues</t>
        </is>
      </c>
      <c r="G12" s="916" t="inlineStr">
        <is>
          <t>https://www.sec.gov/Archives/edgar/data/900075/000090007524000019/cprt07312024ex99-1.htm</t>
        </is>
      </c>
    </row>
    <row r="13">
      <c r="B13" s="916" t="inlineStr">
        <is>
          <t>Hist!I9 Service revenues</t>
        </is>
      </c>
      <c r="C13" s="916" t="n">
        <v>3968.662</v>
      </c>
      <c r="D13" s="916" t="inlineStr">
        <is>
          <t>FY2025</t>
        </is>
      </c>
      <c r="E13" s="916" t="inlineStr">
        <is>
          <t>8-K Ex.99.1 (Q4 FY26 release, 9/10/2026, prior-year column) / FY26 10-K</t>
        </is>
      </c>
      <c r="F13" s="916" t="inlineStr">
        <is>
          <t>Service revenues</t>
        </is>
      </c>
      <c r="G13" s="916" t="inlineStr">
        <is>
          <t>https://www.sec.gov/Archives/edgar/data/900075/000119312526387902/cprt-ex99_1.htm</t>
        </is>
      </c>
    </row>
    <row r="14">
      <c r="B14" s="916" t="inlineStr">
        <is>
          <t>Hist!J9 Service revenues</t>
        </is>
      </c>
      <c r="C14" s="916" t="n">
        <v>3969.52</v>
      </c>
      <c r="D14" s="916" t="inlineStr">
        <is>
          <t>FY2026</t>
        </is>
      </c>
      <c r="E14" s="916" t="inlineStr">
        <is>
          <t>8-K Ex.99.1 (Q4 FY26 release, 9/10/2026) / FY26 10-K filed 9/28/2026</t>
        </is>
      </c>
      <c r="F14" s="916" t="inlineStr">
        <is>
          <t>Service revenues</t>
        </is>
      </c>
      <c r="G14" s="916" t="inlineStr">
        <is>
          <t>https://www.sec.gov/Archives/edgar/data/900075/000119312526387902/cprt-ex99_1.htm</t>
        </is>
      </c>
    </row>
    <row r="15">
      <c r="B15" s="916" t="inlineStr">
        <is>
          <t>Hist!G10 Vehicle sales</t>
        </is>
      </c>
      <c r="C15" s="916" t="n">
        <v>671.39</v>
      </c>
      <c r="D15" s="916" t="inlineStr">
        <is>
          <t>FY2023</t>
        </is>
      </c>
      <c r="E15" s="916" t="inlineStr">
        <is>
          <t>8-K Ex.99.1 (Q4 FY23 release, 9/14/2023) / FY23 10-K</t>
        </is>
      </c>
      <c r="F15" s="916" t="inlineStr">
        <is>
          <t>Vehicle sales</t>
        </is>
      </c>
      <c r="G15" s="916" t="inlineStr">
        <is>
          <t>https://www.sec.gov/Archives/edgar/data/900075/000090007523000027/cprt07312023ex99-1.htm</t>
        </is>
      </c>
    </row>
    <row r="16">
      <c r="B16" s="916" t="inlineStr">
        <is>
          <t>Hist!H10 Vehicle sales</t>
        </is>
      </c>
      <c r="C16" s="916" t="n">
        <v>675.821</v>
      </c>
      <c r="D16" s="916" t="inlineStr">
        <is>
          <t>FY2024</t>
        </is>
      </c>
      <c r="E16" s="916" t="inlineStr">
        <is>
          <t>8-K Ex.99.1 (Q4 FY24 release, 9/4/2024) / FY24 10-K</t>
        </is>
      </c>
      <c r="F16" s="916" t="inlineStr">
        <is>
          <t>Vehicle sales</t>
        </is>
      </c>
      <c r="G16" s="916" t="inlineStr">
        <is>
          <t>https://www.sec.gov/Archives/edgar/data/900075/000090007524000019/cprt07312024ex99-1.htm</t>
        </is>
      </c>
    </row>
    <row r="17">
      <c r="B17" s="916" t="inlineStr">
        <is>
          <t>Hist!I10 Vehicle sales</t>
        </is>
      </c>
      <c r="C17" s="916" t="n">
        <v>678.296</v>
      </c>
      <c r="D17" s="916" t="inlineStr">
        <is>
          <t>FY2025</t>
        </is>
      </c>
      <c r="E17" s="916" t="inlineStr">
        <is>
          <t>8-K Ex.99.1 (Q4 FY26 release, 9/10/2026, prior-year column) / FY26 10-K</t>
        </is>
      </c>
      <c r="F17" s="916" t="inlineStr">
        <is>
          <t>Vehicle sales</t>
        </is>
      </c>
      <c r="G17" s="916" t="inlineStr">
        <is>
          <t>https://www.sec.gov/Archives/edgar/data/900075/000119312526387902/cprt-ex99_1.htm</t>
        </is>
      </c>
    </row>
    <row r="18">
      <c r="B18" s="916" t="inlineStr">
        <is>
          <t>Hist!J10 Vehicle sales</t>
        </is>
      </c>
      <c r="C18" s="916" t="n">
        <v>696.689</v>
      </c>
      <c r="D18" s="916" t="inlineStr">
        <is>
          <t>FY2026</t>
        </is>
      </c>
      <c r="E18" s="916" t="inlineStr">
        <is>
          <t>8-K Ex.99.1 (Q4 FY26 release, 9/10/2026) / FY26 10-K filed 9/28/2026</t>
        </is>
      </c>
      <c r="F18" s="916" t="inlineStr">
        <is>
          <t>Vehicle sales</t>
        </is>
      </c>
      <c r="G18" s="916" t="inlineStr">
        <is>
          <t>https://www.sec.gov/Archives/edgar/data/900075/000119312526387902/cprt-ex99_1.htm</t>
        </is>
      </c>
    </row>
    <row r="19">
      <c r="B19" s="916" t="inlineStr">
        <is>
          <t>Hist!G13 Facility operations (incl. facility SBC; ex-D&amp;A)</t>
        </is>
      </c>
      <c r="C19" s="916" t="inlineStr">
        <is>
          <t>1369.006+6.926-(159.684-142.097-17.381)</t>
        </is>
      </c>
      <c r="D19" s="916" t="inlineStr">
        <is>
          <t>FY2023</t>
        </is>
      </c>
      <c r="E19" s="916" t="inlineStr">
        <is>
          <t>8-K Ex.99.1 (Q4 FY23 release, 9/14/2023) / FY23 10-K</t>
        </is>
      </c>
      <c r="F19" s="916" t="inlineStr">
        <is>
          <t>Yard/Facility operations + Yard/Facility SBC - (CFS D&amp;A - IS D&amp;A captions)</t>
        </is>
      </c>
      <c r="G19" s="916" t="inlineStr">
        <is>
          <t>https://www.sec.gov/Archives/edgar/data/900075/000090007523000027/cprt07312023ex99-1.htm</t>
        </is>
      </c>
    </row>
    <row r="20">
      <c r="B20" s="916" t="inlineStr">
        <is>
          <t>Hist!H13 Facility operations (incl. facility SBC; ex-D&amp;A)</t>
        </is>
      </c>
      <c r="C20" s="916" t="inlineStr">
        <is>
          <t>1532.484+6.95-(190.256-170.65-19.111)</t>
        </is>
      </c>
      <c r="D20" s="916" t="inlineStr">
        <is>
          <t>FY2024</t>
        </is>
      </c>
      <c r="E20" s="916" t="inlineStr">
        <is>
          <t>8-K Ex.99.1 (Q4 FY24 release, 9/4/2024) / FY24 10-K</t>
        </is>
      </c>
      <c r="F20" s="916" t="inlineStr">
        <is>
          <t>Yard/Facility operations + Yard/Facility SBC - (CFS D&amp;A - IS D&amp;A captions)</t>
        </is>
      </c>
      <c r="G20" s="916" t="inlineStr">
        <is>
          <t>https://www.sec.gov/Archives/edgar/data/900075/000090007524000019/cprt07312024ex99-1.htm</t>
        </is>
      </c>
    </row>
    <row r="21">
      <c r="B21" s="916" t="inlineStr">
        <is>
          <t>Hist!I13 Facility operations (incl. facility SBC; ex-D&amp;A)</t>
        </is>
      </c>
      <c r="C21" s="916" t="inlineStr">
        <is>
          <t>1744.436+8.107-(217.784-191.775-24.074)</t>
        </is>
      </c>
      <c r="D21" s="916" t="inlineStr">
        <is>
          <t>FY2025</t>
        </is>
      </c>
      <c r="E21" s="916" t="inlineStr">
        <is>
          <t>8-K Ex.99.1 (Q4 FY26 release, 9/10/2026, prior-year column) / FY26 10-K</t>
        </is>
      </c>
      <c r="F21" s="916" t="inlineStr">
        <is>
          <t>Yard/Facility operations + Yard/Facility SBC - (CFS D&amp;A - IS D&amp;A captions)</t>
        </is>
      </c>
      <c r="G21" s="916" t="inlineStr">
        <is>
          <t>https://www.sec.gov/Archives/edgar/data/900075/000119312526387902/cprt-ex99_1.htm</t>
        </is>
      </c>
    </row>
    <row r="22">
      <c r="B22" s="916" t="inlineStr">
        <is>
          <t>Hist!J13 Facility operations (incl. facility SBC; ex-D&amp;A)</t>
        </is>
      </c>
      <c r="C22" s="916" t="inlineStr">
        <is>
          <t>1755.747+8.472-(238.466-201.669-27.704)</t>
        </is>
      </c>
      <c r="D22" s="916" t="inlineStr">
        <is>
          <t>FY2026</t>
        </is>
      </c>
      <c r="E22" s="916" t="inlineStr">
        <is>
          <t>8-K Ex.99.1 (Q4 FY26 release, 9/10/2026) / FY26 10-K filed 9/28/2026</t>
        </is>
      </c>
      <c r="F22" s="916" t="inlineStr">
        <is>
          <t>Yard/Facility operations + Yard/Facility SBC - (CFS D&amp;A - IS D&amp;A captions)</t>
        </is>
      </c>
      <c r="G22" s="916" t="inlineStr">
        <is>
          <t>https://www.sec.gov/Archives/edgar/data/900075/000119312526387902/cprt-ex99_1.htm</t>
        </is>
      </c>
    </row>
    <row r="23">
      <c r="B23" s="916" t="inlineStr">
        <is>
          <t>Hist!G14 Cost of vehicle sales</t>
        </is>
      </c>
      <c r="C23" s="916" t="n">
        <v>614.498</v>
      </c>
      <c r="D23" s="916" t="inlineStr">
        <is>
          <t>FY2023</t>
        </is>
      </c>
      <c r="E23" s="916" t="inlineStr">
        <is>
          <t>8-K Ex.99.1 (Q4 FY23 release, 9/14/2023) / FY23 10-K</t>
        </is>
      </c>
      <c r="F23" s="916" t="inlineStr">
        <is>
          <t>Cost of vehicle sales</t>
        </is>
      </c>
      <c r="G23" s="916" t="inlineStr">
        <is>
          <t>https://www.sec.gov/Archives/edgar/data/900075/000090007523000027/cprt07312023ex99-1.htm</t>
        </is>
      </c>
    </row>
    <row r="24">
      <c r="B24" s="916" t="inlineStr">
        <is>
          <t>Hist!H14 Cost of vehicle sales</t>
        </is>
      </c>
      <c r="C24" s="916" t="n">
        <v>619.487</v>
      </c>
      <c r="D24" s="916" t="inlineStr">
        <is>
          <t>FY2024</t>
        </is>
      </c>
      <c r="E24" s="916" t="inlineStr">
        <is>
          <t>8-K Ex.99.1 (Q4 FY24 release, 9/4/2024) / FY24 10-K</t>
        </is>
      </c>
      <c r="F24" s="916" t="inlineStr">
        <is>
          <t>Cost of vehicle sales</t>
        </is>
      </c>
      <c r="G24" s="916" t="inlineStr">
        <is>
          <t>https://www.sec.gov/Archives/edgar/data/900075/000090007524000019/cprt07312024ex99-1.htm</t>
        </is>
      </c>
    </row>
    <row r="25">
      <c r="B25" s="916" t="inlineStr">
        <is>
          <t>Hist!I14 Cost of vehicle sales</t>
        </is>
      </c>
      <c r="C25" s="916" t="n">
        <v>602.997</v>
      </c>
      <c r="D25" s="916" t="inlineStr">
        <is>
          <t>FY2025</t>
        </is>
      </c>
      <c r="E25" s="916" t="inlineStr">
        <is>
          <t>8-K Ex.99.1 (Q4 FY26 release, 9/10/2026, prior-year column) / FY26 10-K</t>
        </is>
      </c>
      <c r="F25" s="916" t="inlineStr">
        <is>
          <t>Cost of vehicle sales</t>
        </is>
      </c>
      <c r="G25" s="916" t="inlineStr">
        <is>
          <t>https://www.sec.gov/Archives/edgar/data/900075/000119312526387902/cprt-ex99_1.htm</t>
        </is>
      </c>
    </row>
    <row r="26">
      <c r="B26" s="916" t="inlineStr">
        <is>
          <t>Hist!J14 Cost of vehicle sales</t>
        </is>
      </c>
      <c r="C26" s="916" t="n">
        <v>616.463</v>
      </c>
      <c r="D26" s="916" t="inlineStr">
        <is>
          <t>FY2026</t>
        </is>
      </c>
      <c r="E26" s="916" t="inlineStr">
        <is>
          <t>8-K Ex.99.1 (Q4 FY26 release, 9/10/2026) / FY26 10-K filed 9/28/2026</t>
        </is>
      </c>
      <c r="F26" s="916" t="inlineStr">
        <is>
          <t>Cost of vehicle sales</t>
        </is>
      </c>
      <c r="G26" s="916" t="inlineStr">
        <is>
          <t>https://www.sec.gov/Archives/edgar/data/900075/000119312526387902/cprt-ex99_1.htm</t>
        </is>
      </c>
    </row>
    <row r="27">
      <c r="B27" s="916" t="inlineStr">
        <is>
          <t>Hist!G21 General &amp; Administrative</t>
        </is>
      </c>
      <c r="C27" s="916" t="inlineStr">
        <is>
          <t>200.294+32.747</t>
        </is>
      </c>
      <c r="D27" s="916" t="inlineStr">
        <is>
          <t>FY2023</t>
        </is>
      </c>
      <c r="E27" s="916" t="inlineStr">
        <is>
          <t>8-K Ex.99.1 (Q4 FY23 release, 9/14/2023) / FY23 10-K</t>
        </is>
      </c>
      <c r="F27" s="916" t="inlineStr">
        <is>
          <t>General and administrative + G&amp;A stock-based compensation</t>
        </is>
      </c>
      <c r="G27" s="916" t="inlineStr">
        <is>
          <t>https://www.sec.gov/Archives/edgar/data/900075/000090007523000027/cprt07312023ex99-1.htm</t>
        </is>
      </c>
    </row>
    <row r="28">
      <c r="B28" s="916" t="inlineStr">
        <is>
          <t>Hist!H21 General &amp; Administrative</t>
        </is>
      </c>
      <c r="C28" s="916" t="inlineStr">
        <is>
          <t>287.834+28.284</t>
        </is>
      </c>
      <c r="D28" s="916" t="inlineStr">
        <is>
          <t>FY2024</t>
        </is>
      </c>
      <c r="E28" s="916" t="inlineStr">
        <is>
          <t>8-K Ex.99.1 (Q4 FY24 release, 9/4/2024) / FY24 10-K</t>
        </is>
      </c>
      <c r="F28" s="916" t="inlineStr">
        <is>
          <t>General and administrative + G&amp;A stock-based compensation</t>
        </is>
      </c>
      <c r="G28" s="916" t="inlineStr">
        <is>
          <t>https://www.sec.gov/Archives/edgar/data/900075/000090007524000019/cprt07312024ex99-1.htm</t>
        </is>
      </c>
    </row>
    <row r="29">
      <c r="B29" s="916" t="inlineStr">
        <is>
          <t>Hist!I21 General &amp; Administrative</t>
        </is>
      </c>
      <c r="C29" s="916" t="inlineStr">
        <is>
          <t>348.958+29.897</t>
        </is>
      </c>
      <c r="D29" s="916" t="inlineStr">
        <is>
          <t>FY2025</t>
        </is>
      </c>
      <c r="E29" s="916" t="inlineStr">
        <is>
          <t>8-K Ex.99.1 (Q4 FY26 release, 9/10/2026, prior-year column) / FY26 10-K</t>
        </is>
      </c>
      <c r="F29" s="916" t="inlineStr">
        <is>
          <t>General and administrative + G&amp;A stock-based compensation</t>
        </is>
      </c>
      <c r="G29" s="916" t="inlineStr">
        <is>
          <t>https://www.sec.gov/Archives/edgar/data/900075/000119312526387902/cprt-ex99_1.htm</t>
        </is>
      </c>
    </row>
    <row r="30">
      <c r="B30" s="916" t="inlineStr">
        <is>
          <t>Hist!J21 General &amp; Administrative</t>
        </is>
      </c>
      <c r="C30" s="916" t="inlineStr">
        <is>
          <t>373.218+30.346</t>
        </is>
      </c>
      <c r="D30" s="916" t="inlineStr">
        <is>
          <t>FY2026</t>
        </is>
      </c>
      <c r="E30" s="916" t="inlineStr">
        <is>
          <t>8-K Ex.99.1 (Q4 FY26 release, 9/10/2026) / FY26 10-K filed 9/28/2026</t>
        </is>
      </c>
      <c r="F30" s="916" t="inlineStr">
        <is>
          <t>General and administrative + G&amp;A stock-based compensation</t>
        </is>
      </c>
      <c r="G30" s="916" t="inlineStr">
        <is>
          <t>https://www.sec.gov/Archives/edgar/data/900075/000119312526387902/cprt-ex99_1.htm</t>
        </is>
      </c>
    </row>
    <row r="31">
      <c r="B31" s="916" t="inlineStr">
        <is>
          <t>Hist!G22 Sales &amp; Marketing</t>
        </is>
      </c>
      <c r="C31" s="916" t="n">
        <v>0</v>
      </c>
      <c r="D31" s="916" t="inlineStr">
        <is>
          <t>FY2023</t>
        </is>
      </c>
      <c r="E31" s="916" t="inlineStr">
        <is>
          <t>8-K Ex.99.1 (Q4 FY23 release, 9/14/2023) / FY23 10-K</t>
        </is>
      </c>
      <c r="F31" s="916" t="inlineStr">
        <is>
          <t>Not broken out in 10-K</t>
        </is>
      </c>
      <c r="G31" s="916" t="inlineStr">
        <is>
          <t>https://www.sec.gov/Archives/edgar/data/900075/000090007523000027/cprt07312023ex99-1.htm</t>
        </is>
      </c>
    </row>
    <row r="32">
      <c r="B32" s="916" t="inlineStr">
        <is>
          <t>Hist!H22 Sales &amp; Marketing</t>
        </is>
      </c>
      <c r="C32" s="916" t="n">
        <v>0</v>
      </c>
      <c r="D32" s="916" t="inlineStr">
        <is>
          <t>FY2024</t>
        </is>
      </c>
      <c r="E32" s="916" t="inlineStr">
        <is>
          <t>8-K Ex.99.1 (Q4 FY24 release, 9/4/2024) / FY24 10-K</t>
        </is>
      </c>
      <c r="F32" s="916" t="inlineStr">
        <is>
          <t>Not broken out in 10-K</t>
        </is>
      </c>
      <c r="G32" s="916" t="inlineStr">
        <is>
          <t>https://www.sec.gov/Archives/edgar/data/900075/000090007524000019/cprt07312024ex99-1.htm</t>
        </is>
      </c>
    </row>
    <row r="33">
      <c r="B33" s="916" t="inlineStr">
        <is>
          <t>Hist!I22 Sales &amp; Marketing</t>
        </is>
      </c>
      <c r="C33" s="916" t="n">
        <v>0</v>
      </c>
      <c r="D33" s="916" t="inlineStr">
        <is>
          <t>FY2025</t>
        </is>
      </c>
      <c r="E33" s="916" t="inlineStr">
        <is>
          <t>8-K Ex.99.1 (Q4 FY26 release, 9/10/2026, prior-year column) / FY26 10-K</t>
        </is>
      </c>
      <c r="F33" s="916" t="inlineStr">
        <is>
          <t>Not broken out in 10-K</t>
        </is>
      </c>
      <c r="G33" s="916" t="inlineStr">
        <is>
          <t>https://www.sec.gov/Archives/edgar/data/900075/000119312526387902/cprt-ex99_1.htm</t>
        </is>
      </c>
    </row>
    <row r="34">
      <c r="B34" s="916" t="inlineStr">
        <is>
          <t>Hist!J22 Sales &amp; Marketing</t>
        </is>
      </c>
      <c r="C34" s="916" t="n">
        <v>0</v>
      </c>
      <c r="D34" s="916" t="inlineStr">
        <is>
          <t>FY2026</t>
        </is>
      </c>
      <c r="E34" s="916" t="inlineStr">
        <is>
          <t>8-K Ex.99.1 (Q4 FY26 release, 9/10/2026) / FY26 10-K filed 9/28/2026</t>
        </is>
      </c>
      <c r="F34" s="916" t="inlineStr">
        <is>
          <t>Not broken out in 10-K</t>
        </is>
      </c>
      <c r="G34" s="916" t="inlineStr">
        <is>
          <t>https://www.sec.gov/Archives/edgar/data/900075/000119312526387902/cprt-ex99_1.htm</t>
        </is>
      </c>
    </row>
    <row r="35">
      <c r="B35" s="916" t="inlineStr">
        <is>
          <t>Hist!G23 Research &amp; Development</t>
        </is>
      </c>
      <c r="C35" s="916" t="n">
        <v>0</v>
      </c>
      <c r="D35" s="916" t="inlineStr">
        <is>
          <t>FY2023</t>
        </is>
      </c>
      <c r="E35" s="916" t="inlineStr">
        <is>
          <t>8-K Ex.99.1 (Q4 FY23 release, 9/14/2023) / FY23 10-K</t>
        </is>
      </c>
      <c r="F35" s="916" t="inlineStr">
        <is>
          <t>Not broken out in 10-K</t>
        </is>
      </c>
      <c r="G35" s="916" t="inlineStr">
        <is>
          <t>https://www.sec.gov/Archives/edgar/data/900075/000090007523000027/cprt07312023ex99-1.htm</t>
        </is>
      </c>
    </row>
    <row r="36">
      <c r="B36" s="916" t="inlineStr">
        <is>
          <t>Hist!H23 Research &amp; Development</t>
        </is>
      </c>
      <c r="C36" s="916" t="n">
        <v>0</v>
      </c>
      <c r="D36" s="916" t="inlineStr">
        <is>
          <t>FY2024</t>
        </is>
      </c>
      <c r="E36" s="916" t="inlineStr">
        <is>
          <t>8-K Ex.99.1 (Q4 FY24 release, 9/4/2024) / FY24 10-K</t>
        </is>
      </c>
      <c r="F36" s="916" t="inlineStr">
        <is>
          <t>Not broken out in 10-K</t>
        </is>
      </c>
      <c r="G36" s="916" t="inlineStr">
        <is>
          <t>https://www.sec.gov/Archives/edgar/data/900075/000090007524000019/cprt07312024ex99-1.htm</t>
        </is>
      </c>
    </row>
    <row r="37">
      <c r="B37" s="916" t="inlineStr">
        <is>
          <t>Hist!I23 Research &amp; Development</t>
        </is>
      </c>
      <c r="C37" s="916" t="n">
        <v>0</v>
      </c>
      <c r="D37" s="916" t="inlineStr">
        <is>
          <t>FY2025</t>
        </is>
      </c>
      <c r="E37" s="916" t="inlineStr">
        <is>
          <t>8-K Ex.99.1 (Q4 FY26 release, 9/10/2026, prior-year column) / FY26 10-K</t>
        </is>
      </c>
      <c r="F37" s="916" t="inlineStr">
        <is>
          <t>Not broken out in 10-K</t>
        </is>
      </c>
      <c r="G37" s="916" t="inlineStr">
        <is>
          <t>https://www.sec.gov/Archives/edgar/data/900075/000119312526387902/cprt-ex99_1.htm</t>
        </is>
      </c>
    </row>
    <row r="38">
      <c r="B38" s="916" t="inlineStr">
        <is>
          <t>Hist!J23 Research &amp; Development</t>
        </is>
      </c>
      <c r="C38" s="916" t="n">
        <v>0</v>
      </c>
      <c r="D38" s="916" t="inlineStr">
        <is>
          <t>FY2026</t>
        </is>
      </c>
      <c r="E38" s="916" t="inlineStr">
        <is>
          <t>8-K Ex.99.1 (Q4 FY26 release, 9/10/2026) / FY26 10-K filed 9/28/2026</t>
        </is>
      </c>
      <c r="F38" s="916" t="inlineStr">
        <is>
          <t>Not broken out in 10-K</t>
        </is>
      </c>
      <c r="G38" s="916" t="inlineStr">
        <is>
          <t>https://www.sec.gov/Archives/edgar/data/900075/000119312526387902/cprt-ex99_1.htm</t>
        </is>
      </c>
    </row>
    <row r="39">
      <c r="B39" s="916" t="inlineStr">
        <is>
          <t>Hist!G30 Depreciation</t>
        </is>
      </c>
      <c r="C39" s="916" t="n">
        <v>159.684</v>
      </c>
      <c r="D39" s="916" t="inlineStr">
        <is>
          <t>FY2023</t>
        </is>
      </c>
      <c r="E39" s="916" t="inlineStr">
        <is>
          <t>8-K Ex.99.1 (Q4 FY23 release, 9/14/2023) / FY23 10-K</t>
        </is>
      </c>
      <c r="F39" s="916" t="inlineStr">
        <is>
          <t>CFS: Depreciation and amortization, including debt cost (total D&amp;A; amortization not split)</t>
        </is>
      </c>
      <c r="G39" s="916" t="inlineStr">
        <is>
          <t>https://www.sec.gov/Archives/edgar/data/900075/000090007523000027/cprt07312023ex99-1.htm</t>
        </is>
      </c>
    </row>
    <row r="40">
      <c r="B40" s="916" t="inlineStr">
        <is>
          <t>Hist!H30 Depreciation</t>
        </is>
      </c>
      <c r="C40" s="916" t="n">
        <v>190.256</v>
      </c>
      <c r="D40" s="916" t="inlineStr">
        <is>
          <t>FY2024</t>
        </is>
      </c>
      <c r="E40" s="916" t="inlineStr">
        <is>
          <t>8-K Ex.99.1 (Q4 FY24 release, 9/4/2024) / FY24 10-K</t>
        </is>
      </c>
      <c r="F40" s="916" t="inlineStr">
        <is>
          <t>CFS: Depreciation and amortization, including debt cost (total D&amp;A; amortization not split)</t>
        </is>
      </c>
      <c r="G40" s="916" t="inlineStr">
        <is>
          <t>https://www.sec.gov/Archives/edgar/data/900075/000090007524000019/cprt07312024ex99-1.htm</t>
        </is>
      </c>
    </row>
    <row r="41">
      <c r="B41" s="916" t="inlineStr">
        <is>
          <t>Hist!I30 Depreciation</t>
        </is>
      </c>
      <c r="C41" s="916" t="n">
        <v>217.784</v>
      </c>
      <c r="D41" s="916" t="inlineStr">
        <is>
          <t>FY2025</t>
        </is>
      </c>
      <c r="E41" s="916" t="inlineStr">
        <is>
          <t>8-K Ex.99.1 (Q4 FY26 release, 9/10/2026, prior-year column) / FY26 10-K</t>
        </is>
      </c>
      <c r="F41" s="916" t="inlineStr">
        <is>
          <t>CFS: Depreciation and amortization, including debt cost (total D&amp;A; amortization not split)</t>
        </is>
      </c>
      <c r="G41" s="916" t="inlineStr">
        <is>
          <t>https://www.sec.gov/Archives/edgar/data/900075/000119312526387902/cprt-ex99_1.htm</t>
        </is>
      </c>
    </row>
    <row r="42">
      <c r="B42" s="916" t="inlineStr">
        <is>
          <t>Hist!J30 Depreciation</t>
        </is>
      </c>
      <c r="C42" s="916" t="n">
        <v>238.466</v>
      </c>
      <c r="D42" s="916" t="inlineStr">
        <is>
          <t>FY2026</t>
        </is>
      </c>
      <c r="E42" s="916" t="inlineStr">
        <is>
          <t>8-K Ex.99.1 (Q4 FY26 release, 9/10/2026) / FY26 10-K filed 9/28/2026</t>
        </is>
      </c>
      <c r="F42" s="916" t="inlineStr">
        <is>
          <t>CFS: Depreciation and amortization, including debt cost (total D&amp;A; amortization not split)</t>
        </is>
      </c>
      <c r="G42" s="916" t="inlineStr">
        <is>
          <t>https://www.sec.gov/Archives/edgar/data/900075/000119312526387902/cprt-ex99_1.htm</t>
        </is>
      </c>
    </row>
    <row r="43">
      <c r="B43" s="916" t="inlineStr">
        <is>
          <t>Hist!G31 Amortization</t>
        </is>
      </c>
      <c r="C43" s="916" t="n">
        <v>0</v>
      </c>
      <c r="D43" s="916" t="inlineStr">
        <is>
          <t>FY2023</t>
        </is>
      </c>
      <c r="E43" s="916" t="inlineStr">
        <is>
          <t>8-K Ex.99.1 (Q4 FY23 release, 9/14/2023) / FY23 10-K</t>
        </is>
      </c>
      <c r="F43" s="916" t="inlineStr">
        <is>
          <t>Included in row 30</t>
        </is>
      </c>
      <c r="G43" s="916" t="inlineStr">
        <is>
          <t>https://www.sec.gov/Archives/edgar/data/900075/000090007523000027/cprt07312023ex99-1.htm</t>
        </is>
      </c>
    </row>
    <row r="44">
      <c r="B44" s="916" t="inlineStr">
        <is>
          <t>Hist!H31 Amortization</t>
        </is>
      </c>
      <c r="C44" s="916" t="n">
        <v>0</v>
      </c>
      <c r="D44" s="916" t="inlineStr">
        <is>
          <t>FY2024</t>
        </is>
      </c>
      <c r="E44" s="916" t="inlineStr">
        <is>
          <t>8-K Ex.99.1 (Q4 FY24 release, 9/4/2024) / FY24 10-K</t>
        </is>
      </c>
      <c r="F44" s="916" t="inlineStr">
        <is>
          <t>Included in row 30</t>
        </is>
      </c>
      <c r="G44" s="916" t="inlineStr">
        <is>
          <t>https://www.sec.gov/Archives/edgar/data/900075/000090007524000019/cprt07312024ex99-1.htm</t>
        </is>
      </c>
    </row>
    <row r="45">
      <c r="B45" s="916" t="inlineStr">
        <is>
          <t>Hist!I31 Amortization</t>
        </is>
      </c>
      <c r="C45" s="916" t="n">
        <v>0</v>
      </c>
      <c r="D45" s="916" t="inlineStr">
        <is>
          <t>FY2025</t>
        </is>
      </c>
      <c r="E45" s="916" t="inlineStr">
        <is>
          <t>8-K Ex.99.1 (Q4 FY26 release, 9/10/2026, prior-year column) / FY26 10-K</t>
        </is>
      </c>
      <c r="F45" s="916" t="inlineStr">
        <is>
          <t>Included in row 30</t>
        </is>
      </c>
      <c r="G45" s="916" t="inlineStr">
        <is>
          <t>https://www.sec.gov/Archives/edgar/data/900075/000119312526387902/cprt-ex99_1.htm</t>
        </is>
      </c>
    </row>
    <row r="46">
      <c r="B46" s="916" t="inlineStr">
        <is>
          <t>Hist!J31 Amortization</t>
        </is>
      </c>
      <c r="C46" s="916" t="n">
        <v>0</v>
      </c>
      <c r="D46" s="916" t="inlineStr">
        <is>
          <t>FY2026</t>
        </is>
      </c>
      <c r="E46" s="916" t="inlineStr">
        <is>
          <t>8-K Ex.99.1 (Q4 FY26 release, 9/10/2026) / FY26 10-K filed 9/28/2026</t>
        </is>
      </c>
      <c r="F46" s="916" t="inlineStr">
        <is>
          <t>Included in row 30</t>
        </is>
      </c>
      <c r="G46" s="916" t="inlineStr">
        <is>
          <t>https://www.sec.gov/Archives/edgar/data/900075/000119312526387902/cprt-ex99_1.htm</t>
        </is>
      </c>
    </row>
    <row r="47">
      <c r="B47" s="916" t="inlineStr">
        <is>
          <t>Hist!G36 Interest Expense</t>
        </is>
      </c>
      <c r="C47" s="916" t="n">
        <v>2.614</v>
      </c>
      <c r="D47" s="916" t="inlineStr">
        <is>
          <t>FY2023</t>
        </is>
      </c>
      <c r="E47" s="916" t="inlineStr">
        <is>
          <t>8-K Ex.99.1 (Q4 FY23 release, 9/14/2023) / FY23 10-K</t>
        </is>
      </c>
      <c r="F47" s="916" t="inlineStr">
        <is>
          <t>CFS supplemental: Interest paid (cash interest on debt)</t>
        </is>
      </c>
      <c r="G47" s="916" t="inlineStr">
        <is>
          <t>https://www.sec.gov/Archives/edgar/data/900075/000090007523000027/cprt07312023ex99-1.htm</t>
        </is>
      </c>
    </row>
    <row r="48">
      <c r="B48" s="916" t="inlineStr">
        <is>
          <t>Hist!H36 Interest Expense</t>
        </is>
      </c>
      <c r="C48" s="916" t="n">
        <v>3.127</v>
      </c>
      <c r="D48" s="916" t="inlineStr">
        <is>
          <t>FY2024</t>
        </is>
      </c>
      <c r="E48" s="916" t="inlineStr">
        <is>
          <t>8-K Ex.99.1 (Q4 FY24 release, 9/4/2024) / FY24 10-K</t>
        </is>
      </c>
      <c r="F48" s="916" t="inlineStr">
        <is>
          <t>CFS supplemental: Interest paid (cash interest on debt)</t>
        </is>
      </c>
      <c r="G48" s="916" t="inlineStr">
        <is>
          <t>https://www.sec.gov/Archives/edgar/data/900075/000090007524000019/cprt07312024ex99-1.htm</t>
        </is>
      </c>
    </row>
    <row r="49">
      <c r="B49" s="916" t="inlineStr">
        <is>
          <t>Hist!I36 Interest Expense</t>
        </is>
      </c>
      <c r="C49" s="916" t="n">
        <v>2.019</v>
      </c>
      <c r="D49" s="916" t="inlineStr">
        <is>
          <t>FY2025</t>
        </is>
      </c>
      <c r="E49" s="916" t="inlineStr">
        <is>
          <t>8-K Ex.99.1 (Q4 FY26 release, 9/10/2026, prior-year column) / FY26 10-K</t>
        </is>
      </c>
      <c r="F49" s="916" t="inlineStr">
        <is>
          <t>CFS supplemental: Interest paid (cash interest on debt)</t>
        </is>
      </c>
      <c r="G49" s="916" t="inlineStr">
        <is>
          <t>https://www.sec.gov/Archives/edgar/data/900075/000119312526387902/cprt-ex99_1.htm</t>
        </is>
      </c>
    </row>
    <row r="50">
      <c r="B50" s="916" t="inlineStr">
        <is>
          <t>Hist!J36 Interest Expense</t>
        </is>
      </c>
      <c r="C50" s="916" t="n">
        <v>1.866</v>
      </c>
      <c r="D50" s="916" t="inlineStr">
        <is>
          <t>FY2026</t>
        </is>
      </c>
      <c r="E50" s="916" t="inlineStr">
        <is>
          <t>8-K Ex.99.1 (Q4 FY26 release, 9/10/2026) / FY26 10-K filed 9/28/2026</t>
        </is>
      </c>
      <c r="F50" s="916" t="inlineStr">
        <is>
          <t>CFS supplemental: Interest paid (cash interest on debt)</t>
        </is>
      </c>
      <c r="G50" s="916" t="inlineStr">
        <is>
          <t>https://www.sec.gov/Archives/edgar/data/900075/000119312526387902/cprt-ex99_1.htm</t>
        </is>
      </c>
    </row>
    <row r="51">
      <c r="B51" s="916" t="inlineStr">
        <is>
          <t>Hist!G38 Interest income, gross (= -(Interest income, net + interest paid))</t>
        </is>
      </c>
      <c r="C51" s="916" t="inlineStr">
        <is>
          <t>-(65.928+2.614)</t>
        </is>
      </c>
      <c r="D51" s="916" t="inlineStr">
        <is>
          <t>FY2023</t>
        </is>
      </c>
      <c r="E51" s="916" t="inlineStr">
        <is>
          <t>8-K Ex.99.1 (Q4 FY23 release, 9/14/2023) / FY23 10-K</t>
        </is>
      </c>
      <c r="F51" s="916" t="inlineStr">
        <is>
          <t>Interest income (expense), net; Interest paid</t>
        </is>
      </c>
      <c r="G51" s="916" t="inlineStr">
        <is>
          <t>https://www.sec.gov/Archives/edgar/data/900075/000090007523000027/cprt07312023ex99-1.htm</t>
        </is>
      </c>
    </row>
    <row r="52">
      <c r="B52" s="916" t="inlineStr">
        <is>
          <t>Hist!H38 Interest income, gross (= -(Interest income, net + interest paid))</t>
        </is>
      </c>
      <c r="C52" s="916" t="inlineStr">
        <is>
          <t>-(145.673+3.127)</t>
        </is>
      </c>
      <c r="D52" s="916" t="inlineStr">
        <is>
          <t>FY2024</t>
        </is>
      </c>
      <c r="E52" s="916" t="inlineStr">
        <is>
          <t>8-K Ex.99.1 (Q4 FY24 release, 9/4/2024) / FY24 10-K</t>
        </is>
      </c>
      <c r="F52" s="916" t="inlineStr">
        <is>
          <t>Interest income (expense), net; Interest paid</t>
        </is>
      </c>
      <c r="G52" s="916" t="inlineStr">
        <is>
          <t>https://www.sec.gov/Archives/edgar/data/900075/000090007524000019/cprt07312024ex99-1.htm</t>
        </is>
      </c>
    </row>
    <row r="53">
      <c r="B53" s="916" t="inlineStr">
        <is>
          <t>Hist!I38 Interest income, gross (= -(Interest income, net + interest paid))</t>
        </is>
      </c>
      <c r="C53" s="916" t="inlineStr">
        <is>
          <t>-(178.909+2.019)</t>
        </is>
      </c>
      <c r="D53" s="916" t="inlineStr">
        <is>
          <t>FY2025</t>
        </is>
      </c>
      <c r="E53" s="916" t="inlineStr">
        <is>
          <t>8-K Ex.99.1 (Q4 FY26 release, 9/10/2026, prior-year column) / FY26 10-K</t>
        </is>
      </c>
      <c r="F53" s="916" t="inlineStr">
        <is>
          <t>Interest income (expense), net; Interest paid</t>
        </is>
      </c>
      <c r="G53" s="916" t="inlineStr">
        <is>
          <t>https://www.sec.gov/Archives/edgar/data/900075/000119312526387902/cprt-ex99_1.htm</t>
        </is>
      </c>
    </row>
    <row r="54">
      <c r="B54" s="916" t="inlineStr">
        <is>
          <t>Hist!J38 Interest income, gross (= -(Interest income, net + interest paid))</t>
        </is>
      </c>
      <c r="C54" s="916" t="inlineStr">
        <is>
          <t>-(181.923+1.866)</t>
        </is>
      </c>
      <c r="D54" s="916" t="inlineStr">
        <is>
          <t>FY2026</t>
        </is>
      </c>
      <c r="E54" s="916" t="inlineStr">
        <is>
          <t>8-K Ex.99.1 (Q4 FY26 release, 9/10/2026) / FY26 10-K filed 9/28/2026</t>
        </is>
      </c>
      <c r="F54" s="916" t="inlineStr">
        <is>
          <t>Interest income (expense), net; Interest paid</t>
        </is>
      </c>
      <c r="G54" s="916" t="inlineStr">
        <is>
          <t>https://www.sec.gov/Archives/edgar/data/900075/000119312526387902/cprt-ex99_1.htm</t>
        </is>
      </c>
    </row>
    <row r="55">
      <c r="B55" s="916" t="inlineStr">
        <is>
          <t>Hist!G39 Other (income) expense, net</t>
        </is>
      </c>
      <c r="C55" s="916" t="n">
        <v>-1.831</v>
      </c>
      <c r="D55" s="916" t="inlineStr">
        <is>
          <t>FY2023</t>
        </is>
      </c>
      <c r="E55" s="916" t="inlineStr">
        <is>
          <t>8-K Ex.99.1 (Q4 FY23 release, 9/14/2023) / FY23 10-K</t>
        </is>
      </c>
      <c r="F55" s="916" t="inlineStr">
        <is>
          <t>Other income (expense), net (sign reversed)</t>
        </is>
      </c>
      <c r="G55" s="916" t="inlineStr">
        <is>
          <t>https://www.sec.gov/Archives/edgar/data/900075/000090007523000027/cprt07312023ex99-1.htm</t>
        </is>
      </c>
    </row>
    <row r="56">
      <c r="B56" s="916" t="inlineStr">
        <is>
          <t>Hist!H39 Other (income) expense, net</t>
        </is>
      </c>
      <c r="C56" s="916" t="n">
        <v>3.095</v>
      </c>
      <c r="D56" s="916" t="inlineStr">
        <is>
          <t>FY2024</t>
        </is>
      </c>
      <c r="E56" s="916" t="inlineStr">
        <is>
          <t>8-K Ex.99.1 (Q4 FY24 release, 9/4/2024) / FY24 10-K</t>
        </is>
      </c>
      <c r="F56" s="916" t="inlineStr">
        <is>
          <t>Other income (expense), net (sign reversed)</t>
        </is>
      </c>
      <c r="G56" s="916" t="inlineStr">
        <is>
          <t>https://www.sec.gov/Archives/edgar/data/900075/000090007524000019/cprt07312024ex99-1.htm</t>
        </is>
      </c>
    </row>
    <row r="57">
      <c r="B57" s="916" t="inlineStr">
        <is>
          <t>Hist!I39 Other (income) expense, net</t>
        </is>
      </c>
      <c r="C57" s="916" t="n">
        <v>-19.958</v>
      </c>
      <c r="D57" s="916" t="inlineStr">
        <is>
          <t>FY2025</t>
        </is>
      </c>
      <c r="E57" s="916" t="inlineStr">
        <is>
          <t>8-K Ex.99.1 (Q4 FY26 release, 9/10/2026, prior-year column) / FY26 10-K</t>
        </is>
      </c>
      <c r="F57" s="916" t="inlineStr">
        <is>
          <t>Other income (expense), net (sign reversed)</t>
        </is>
      </c>
      <c r="G57" s="916" t="inlineStr">
        <is>
          <t>https://www.sec.gov/Archives/edgar/data/900075/000119312526387902/cprt-ex99_1.htm</t>
        </is>
      </c>
    </row>
    <row r="58">
      <c r="B58" s="916" t="inlineStr">
        <is>
          <t>Hist!J39 Other (income) expense, net</t>
        </is>
      </c>
      <c r="C58" s="916" t="n">
        <v>-0.464</v>
      </c>
      <c r="D58" s="916" t="inlineStr">
        <is>
          <t>FY2026</t>
        </is>
      </c>
      <c r="E58" s="916" t="inlineStr">
        <is>
          <t>8-K Ex.99.1 (Q4 FY26 release, 9/10/2026) / FY26 10-K filed 9/28/2026</t>
        </is>
      </c>
      <c r="F58" s="916" t="inlineStr">
        <is>
          <t>Other income (expense), net (sign reversed)</t>
        </is>
      </c>
      <c r="G58" s="916" t="inlineStr">
        <is>
          <t>https://www.sec.gov/Archives/edgar/data/900075/000119312526387902/cprt-ex99_1.htm</t>
        </is>
      </c>
    </row>
    <row r="59">
      <c r="B59" s="916" t="inlineStr">
        <is>
          <t>Hist!G40 Net loss attributable to noncontrolling interest</t>
        </is>
      </c>
      <c r="C59" s="916" t="n">
        <v>0</v>
      </c>
      <c r="D59" s="916" t="inlineStr">
        <is>
          <t>FY2023</t>
        </is>
      </c>
      <c r="E59" s="916" t="inlineStr">
        <is>
          <t>8-K Ex.99.1 (Q4 FY23 release, 9/14/2023) / FY23 10-K</t>
        </is>
      </c>
      <c r="F59" s="916" t="inlineStr">
        <is>
          <t>Less: Net loss attributable to noncontrolling interest (so NI = attributable to Copart)</t>
        </is>
      </c>
      <c r="G59" s="916" t="inlineStr">
        <is>
          <t>https://www.sec.gov/Archives/edgar/data/900075/000090007523000027/cprt07312023ex99-1.htm</t>
        </is>
      </c>
    </row>
    <row r="60">
      <c r="B60" s="916" t="inlineStr">
        <is>
          <t>Hist!H40 Net loss attributable to noncontrolling interest</t>
        </is>
      </c>
      <c r="C60" s="916" t="n">
        <v>-0.673</v>
      </c>
      <c r="D60" s="916" t="inlineStr">
        <is>
          <t>FY2024</t>
        </is>
      </c>
      <c r="E60" s="916" t="inlineStr">
        <is>
          <t>8-K Ex.99.1 (Q4 FY24 release, 9/4/2024) / FY24 10-K</t>
        </is>
      </c>
      <c r="F60" s="916" t="inlineStr">
        <is>
          <t>Less: Net loss attributable to noncontrolling interest (so NI = attributable to Copart)</t>
        </is>
      </c>
      <c r="G60" s="916" t="inlineStr">
        <is>
          <t>https://www.sec.gov/Archives/edgar/data/900075/000090007524000019/cprt07312024ex99-1.htm</t>
        </is>
      </c>
    </row>
    <row r="61">
      <c r="B61" s="916" t="inlineStr">
        <is>
          <t>Hist!I40 Net loss attributable to noncontrolling interest</t>
        </is>
      </c>
      <c r="C61" s="916" t="n">
        <v>-4.086</v>
      </c>
      <c r="D61" s="916" t="inlineStr">
        <is>
          <t>FY2025</t>
        </is>
      </c>
      <c r="E61" s="916" t="inlineStr">
        <is>
          <t>8-K Ex.99.1 (Q4 FY26 release, 9/10/2026, prior-year column) / FY26 10-K</t>
        </is>
      </c>
      <c r="F61" s="916" t="inlineStr">
        <is>
          <t>Less: Net loss attributable to noncontrolling interest (so NI = attributable to Copart)</t>
        </is>
      </c>
      <c r="G61" s="916" t="inlineStr">
        <is>
          <t>https://www.sec.gov/Archives/edgar/data/900075/000119312526387902/cprt-ex99_1.htm</t>
        </is>
      </c>
    </row>
    <row r="62">
      <c r="B62" s="916" t="inlineStr">
        <is>
          <t>Hist!J40 Net loss attributable to noncontrolling interest</t>
        </is>
      </c>
      <c r="C62" s="916" t="n">
        <v>-3.873</v>
      </c>
      <c r="D62" s="916" t="inlineStr">
        <is>
          <t>FY2026</t>
        </is>
      </c>
      <c r="E62" s="916" t="inlineStr">
        <is>
          <t>8-K Ex.99.1 (Q4 FY26 release, 9/10/2026) / FY26 10-K filed 9/28/2026</t>
        </is>
      </c>
      <c r="F62" s="916" t="inlineStr">
        <is>
          <t>Less: Net loss attributable to noncontrolling interest (so NI = attributable to Copart)</t>
        </is>
      </c>
      <c r="G62" s="916" t="inlineStr">
        <is>
          <t>https://www.sec.gov/Archives/edgar/data/900075/000119312526387902/cprt-ex99_1.htm</t>
        </is>
      </c>
    </row>
    <row r="63">
      <c r="B63" s="916" t="inlineStr">
        <is>
          <t>Hist!G47 Taxes</t>
        </is>
      </c>
      <c r="C63" s="916" t="n">
        <v>316.587</v>
      </c>
      <c r="D63" s="916" t="inlineStr">
        <is>
          <t>FY2023</t>
        </is>
      </c>
      <c r="E63" s="916" t="inlineStr">
        <is>
          <t>8-K Ex.99.1 (Q4 FY23 release, 9/14/2023) / FY23 10-K</t>
        </is>
      </c>
      <c r="F63" s="916" t="inlineStr">
        <is>
          <t>Income tax expense</t>
        </is>
      </c>
      <c r="G63" s="916" t="inlineStr">
        <is>
          <t>https://www.sec.gov/Archives/edgar/data/900075/000090007523000027/cprt07312023ex99-1.htm</t>
        </is>
      </c>
    </row>
    <row r="64">
      <c r="B64" s="916" t="inlineStr">
        <is>
          <t>Hist!H47 Taxes</t>
        </is>
      </c>
      <c r="C64" s="916" t="n">
        <v>352.254</v>
      </c>
      <c r="D64" s="916" t="inlineStr">
        <is>
          <t>FY2024</t>
        </is>
      </c>
      <c r="E64" s="916" t="inlineStr">
        <is>
          <t>8-K Ex.99.1 (Q4 FY24 release, 9/4/2024) / FY24 10-K</t>
        </is>
      </c>
      <c r="F64" s="916" t="inlineStr">
        <is>
          <t>Income tax expense</t>
        </is>
      </c>
      <c r="G64" s="916" t="inlineStr">
        <is>
          <t>https://www.sec.gov/Archives/edgar/data/900075/000090007524000019/cprt07312024ex99-1.htm</t>
        </is>
      </c>
    </row>
    <row r="65">
      <c r="B65" s="916" t="inlineStr">
        <is>
          <t>Hist!I47 Taxes</t>
        </is>
      </c>
      <c r="C65" s="916" t="n">
        <v>347.218</v>
      </c>
      <c r="D65" s="916" t="inlineStr">
        <is>
          <t>FY2025</t>
        </is>
      </c>
      <c r="E65" s="916" t="inlineStr">
        <is>
          <t>8-K Ex.99.1 (Q4 FY26 release, 9/10/2026, prior-year column) / FY26 10-K</t>
        </is>
      </c>
      <c r="F65" s="916" t="inlineStr">
        <is>
          <t>Income tax expense</t>
        </is>
      </c>
      <c r="G65" s="916" t="inlineStr">
        <is>
          <t>https://www.sec.gov/Archives/edgar/data/900075/000119312526387902/cprt-ex99_1.htm</t>
        </is>
      </c>
    </row>
    <row r="66">
      <c r="B66" s="916" t="inlineStr">
        <is>
          <t>Hist!J47 Taxes</t>
        </is>
      </c>
      <c r="C66" s="916" t="n">
        <v>354.58</v>
      </c>
      <c r="D66" s="916" t="inlineStr">
        <is>
          <t>FY2026</t>
        </is>
      </c>
      <c r="E66" s="916" t="inlineStr">
        <is>
          <t>8-K Ex.99.1 (Q4 FY26 release, 9/10/2026) / FY26 10-K filed 9/28/2026</t>
        </is>
      </c>
      <c r="F66" s="916" t="inlineStr">
        <is>
          <t>Income tax expense</t>
        </is>
      </c>
      <c r="G66" s="916" t="inlineStr">
        <is>
          <t>https://www.sec.gov/Archives/edgar/data/900075/000119312526387902/cprt-ex99_1.htm</t>
        </is>
      </c>
    </row>
    <row r="67">
      <c r="B67" s="916" t="inlineStr">
        <is>
          <t>Hist!G52 Company Reported Net Income</t>
        </is>
      </c>
      <c r="C67" s="916" t="n">
        <v>1237.741</v>
      </c>
      <c r="D67" s="916" t="inlineStr">
        <is>
          <t>FY2023</t>
        </is>
      </c>
      <c r="E67" s="916" t="inlineStr">
        <is>
          <t>8-K Ex.99.1 (Q4 FY23 release, 9/14/2023) / FY23 10-K</t>
        </is>
      </c>
      <c r="F67" s="916" t="inlineStr">
        <is>
          <t>Net income attributable to Copart, Inc.</t>
        </is>
      </c>
      <c r="G67" s="916" t="inlineStr">
        <is>
          <t>https://www.sec.gov/Archives/edgar/data/900075/000090007523000027/cprt07312023ex99-1.htm</t>
        </is>
      </c>
    </row>
    <row r="68">
      <c r="B68" s="916" t="inlineStr">
        <is>
          <t>Hist!H52 Company Reported Net Income</t>
        </is>
      </c>
      <c r="C68" s="916" t="n">
        <v>1363.02</v>
      </c>
      <c r="D68" s="916" t="inlineStr">
        <is>
          <t>FY2024</t>
        </is>
      </c>
      <c r="E68" s="916" t="inlineStr">
        <is>
          <t>8-K Ex.99.1 (Q4 FY24 release, 9/4/2024) / FY24 10-K</t>
        </is>
      </c>
      <c r="F68" s="916" t="inlineStr">
        <is>
          <t>Net income attributable to Copart, Inc.</t>
        </is>
      </c>
      <c r="G68" s="916" t="inlineStr">
        <is>
          <t>https://www.sec.gov/Archives/edgar/data/900075/000090007524000019/cprt07312024ex99-1.htm</t>
        </is>
      </c>
    </row>
    <row r="69">
      <c r="B69" s="916" t="inlineStr">
        <is>
          <t>Hist!I52 Company Reported Net Income</t>
        </is>
      </c>
      <c r="C69" s="916" t="n">
        <v>1552.449</v>
      </c>
      <c r="D69" s="916" t="inlineStr">
        <is>
          <t>FY2025</t>
        </is>
      </c>
      <c r="E69" s="916" t="inlineStr">
        <is>
          <t>8-K Ex.99.1 (Q4 FY26 release, 9/10/2026, prior-year column) / FY26 10-K</t>
        </is>
      </c>
      <c r="F69" s="916" t="inlineStr">
        <is>
          <t>Net income attributable to Copart, Inc.</t>
        </is>
      </c>
      <c r="G69" s="916" t="inlineStr">
        <is>
          <t>https://www.sec.gov/Archives/edgar/data/900075/000119312526387902/cprt-ex99_1.htm</t>
        </is>
      </c>
    </row>
    <row r="70">
      <c r="B70" s="916" t="inlineStr">
        <is>
          <t>Hist!J52 Company Reported Net Income</t>
        </is>
      </c>
      <c r="C70" s="916" t="n">
        <v>1484.27</v>
      </c>
      <c r="D70" s="916" t="inlineStr">
        <is>
          <t>FY2026</t>
        </is>
      </c>
      <c r="E70" s="916" t="inlineStr">
        <is>
          <t>8-K Ex.99.1 (Q4 FY26 release, 9/10/2026) / FY26 10-K filed 9/28/2026</t>
        </is>
      </c>
      <c r="F70" s="916" t="inlineStr">
        <is>
          <t>Net income attributable to Copart, Inc.</t>
        </is>
      </c>
      <c r="G70" s="916" t="inlineStr">
        <is>
          <t>https://www.sec.gov/Archives/edgar/data/900075/000119312526387902/cprt-ex99_1.htm</t>
        </is>
      </c>
    </row>
    <row r="71">
      <c r="B71" s="916" t="inlineStr">
        <is>
          <t>Hist!G59 Cash, equivalents, restricted cash + HTM securities</t>
        </is>
      </c>
      <c r="C71" s="916" t="inlineStr">
        <is>
          <t>957.395+1406.589</t>
        </is>
      </c>
      <c r="D71" s="916" t="inlineStr">
        <is>
          <t>FY2023</t>
        </is>
      </c>
      <c r="E71" s="916" t="inlineStr">
        <is>
          <t>8-K Ex.99.1 (Q4 FY23 release, 9/14/2023) / FY23 10-K</t>
        </is>
      </c>
      <c r="F71" s="916" t="inlineStr">
        <is>
          <t>Cash, cash equivalents, and restricted cash + Investment in held to maturity securities</t>
        </is>
      </c>
      <c r="G71" s="916" t="inlineStr">
        <is>
          <t>https://www.sec.gov/Archives/edgar/data/900075/000090007523000027/cprt07312023ex99-1.htm</t>
        </is>
      </c>
    </row>
    <row r="72">
      <c r="B72" s="916" t="inlineStr">
        <is>
          <t>Hist!H59 Cash, equivalents, restricted cash + HTM securities</t>
        </is>
      </c>
      <c r="C72" s="916" t="inlineStr">
        <is>
          <t>1514.111+1908.047</t>
        </is>
      </c>
      <c r="D72" s="916" t="inlineStr">
        <is>
          <t>FY2024</t>
        </is>
      </c>
      <c r="E72" s="916" t="inlineStr">
        <is>
          <t>8-K Ex.99.1 (Q4 FY24 release, 9/4/2024) / FY24 10-K</t>
        </is>
      </c>
      <c r="F72" s="916" t="inlineStr">
        <is>
          <t>Cash, cash equivalents, and restricted cash + Investment in held to maturity securities</t>
        </is>
      </c>
      <c r="G72" s="916" t="inlineStr">
        <is>
          <t>https://www.sec.gov/Archives/edgar/data/900075/000090007524000019/cprt07312024ex99-1.htm</t>
        </is>
      </c>
    </row>
    <row r="73">
      <c r="B73" s="916" t="inlineStr">
        <is>
          <t>Hist!I59 Cash, equivalents, restricted cash + HTM securities</t>
        </is>
      </c>
      <c r="C73" s="916" t="inlineStr">
        <is>
          <t>2780.531+2008.539</t>
        </is>
      </c>
      <c r="D73" s="916" t="inlineStr">
        <is>
          <t>FY2025</t>
        </is>
      </c>
      <c r="E73" s="916" t="inlineStr">
        <is>
          <t>8-K Ex.99.1 (Q4 FY26 release, 9/10/2026, prior-year column) / FY26 10-K</t>
        </is>
      </c>
      <c r="F73" s="916" t="inlineStr">
        <is>
          <t>Cash, cash equivalents, and restricted cash + Investment in held to maturity securities</t>
        </is>
      </c>
      <c r="G73" s="916" t="inlineStr">
        <is>
          <t>https://www.sec.gov/Archives/edgar/data/900075/000119312526387902/cprt-ex99_1.htm</t>
        </is>
      </c>
    </row>
    <row r="74">
      <c r="B74" s="916" t="inlineStr">
        <is>
          <t>Hist!J59 Cash, equivalents, restricted cash + HTM securities</t>
        </is>
      </c>
      <c r="C74" s="916" t="inlineStr">
        <is>
          <t>1907.901+2581.901</t>
        </is>
      </c>
      <c r="D74" s="916" t="inlineStr">
        <is>
          <t>FY2026</t>
        </is>
      </c>
      <c r="E74" s="916" t="inlineStr">
        <is>
          <t>8-K Ex.99.1 (Q4 FY26 release, 9/10/2026) / FY26 10-K filed 9/28/2026</t>
        </is>
      </c>
      <c r="F74" s="916" t="inlineStr">
        <is>
          <t>Cash, cash equivalents, and restricted cash + Investment in held to maturity securities</t>
        </is>
      </c>
      <c r="G74" s="916" t="inlineStr">
        <is>
          <t>https://www.sec.gov/Archives/edgar/data/900075/000119312526387902/cprt-ex99_1.htm</t>
        </is>
      </c>
    </row>
    <row r="75">
      <c r="B75" s="916" t="inlineStr">
        <is>
          <t>Hist!G60 Accounts Receivable</t>
        </is>
      </c>
      <c r="C75" s="916" t="n">
        <v>702.038</v>
      </c>
      <c r="D75" s="916" t="inlineStr">
        <is>
          <t>FY2023</t>
        </is>
      </c>
      <c r="E75" s="916" t="inlineStr">
        <is>
          <t>8-K Ex.99.1 (Q4 FY23 release, 9/14/2023) / FY23 10-K</t>
        </is>
      </c>
      <c r="F75" s="916" t="inlineStr">
        <is>
          <t>Accounts receivable, net</t>
        </is>
      </c>
      <c r="G75" s="916" t="inlineStr">
        <is>
          <t>https://www.sec.gov/Archives/edgar/data/900075/000090007523000027/cprt07312023ex99-1.htm</t>
        </is>
      </c>
    </row>
    <row r="76">
      <c r="B76" s="916" t="inlineStr">
        <is>
          <t>Hist!H60 Accounts Receivable</t>
        </is>
      </c>
      <c r="C76" s="916" t="n">
        <v>785.877</v>
      </c>
      <c r="D76" s="916" t="inlineStr">
        <is>
          <t>FY2024</t>
        </is>
      </c>
      <c r="E76" s="916" t="inlineStr">
        <is>
          <t>8-K Ex.99.1 (Q4 FY24 release, 9/4/2024) / FY24 10-K</t>
        </is>
      </c>
      <c r="F76" s="916" t="inlineStr">
        <is>
          <t>Accounts receivable, net</t>
        </is>
      </c>
      <c r="G76" s="916" t="inlineStr">
        <is>
          <t>https://www.sec.gov/Archives/edgar/data/900075/000090007524000019/cprt07312024ex99-1.htm</t>
        </is>
      </c>
    </row>
    <row r="77">
      <c r="B77" s="916" t="inlineStr">
        <is>
          <t>Hist!I60 Accounts Receivable</t>
        </is>
      </c>
      <c r="C77" s="916" t="n">
        <v>762.811</v>
      </c>
      <c r="D77" s="916" t="inlineStr">
        <is>
          <t>FY2025</t>
        </is>
      </c>
      <c r="E77" s="916" t="inlineStr">
        <is>
          <t>8-K Ex.99.1 (Q4 FY26 release, 9/10/2026, prior-year column) / FY26 10-K</t>
        </is>
      </c>
      <c r="F77" s="916" t="inlineStr">
        <is>
          <t>Accounts receivable, net</t>
        </is>
      </c>
      <c r="G77" s="916" t="inlineStr">
        <is>
          <t>https://www.sec.gov/Archives/edgar/data/900075/000119312526387902/cprt-ex99_1.htm</t>
        </is>
      </c>
    </row>
    <row r="78">
      <c r="B78" s="916" t="inlineStr">
        <is>
          <t>Hist!J60 Accounts Receivable</t>
        </is>
      </c>
      <c r="C78" s="916" t="n">
        <v>809.247</v>
      </c>
      <c r="D78" s="916" t="inlineStr">
        <is>
          <t>FY2026</t>
        </is>
      </c>
      <c r="E78" s="916" t="inlineStr">
        <is>
          <t>8-K Ex.99.1 (Q4 FY26 release, 9/10/2026) / FY26 10-K filed 9/28/2026</t>
        </is>
      </c>
      <c r="F78" s="916" t="inlineStr">
        <is>
          <t>Accounts receivable, net</t>
        </is>
      </c>
      <c r="G78" s="916" t="inlineStr">
        <is>
          <t>https://www.sec.gov/Archives/edgar/data/900075/000119312526387902/cprt-ex99_1.htm</t>
        </is>
      </c>
    </row>
    <row r="79">
      <c r="B79" s="916" t="inlineStr">
        <is>
          <t>Hist!G61 Prepaid Expenses</t>
        </is>
      </c>
      <c r="C79" s="916" t="n">
        <v>26.31</v>
      </c>
      <c r="D79" s="916" t="inlineStr">
        <is>
          <t>FY2023</t>
        </is>
      </c>
      <c r="E79" s="916" t="inlineStr">
        <is>
          <t>8-K Ex.99.1 (Q4 FY23 release, 9/14/2023) / FY23 10-K</t>
        </is>
      </c>
      <c r="F79" s="916" t="inlineStr">
        <is>
          <t>Prepaid expenses and other assets</t>
        </is>
      </c>
      <c r="G79" s="916" t="inlineStr">
        <is>
          <t>https://www.sec.gov/Archives/edgar/data/900075/000090007523000027/cprt07312023ex99-1.htm</t>
        </is>
      </c>
    </row>
    <row r="80">
      <c r="B80" s="916" t="inlineStr">
        <is>
          <t>Hist!H61 Prepaid Expenses</t>
        </is>
      </c>
      <c r="C80" s="916" t="n">
        <v>33.872</v>
      </c>
      <c r="D80" s="916" t="inlineStr">
        <is>
          <t>FY2024</t>
        </is>
      </c>
      <c r="E80" s="916" t="inlineStr">
        <is>
          <t>8-K Ex.99.1 (Q4 FY24 release, 9/4/2024) / FY24 10-K</t>
        </is>
      </c>
      <c r="F80" s="916" t="inlineStr">
        <is>
          <t>Prepaid expenses and other assets</t>
        </is>
      </c>
      <c r="G80" s="916" t="inlineStr">
        <is>
          <t>https://www.sec.gov/Archives/edgar/data/900075/000090007524000019/cprt07312024ex99-1.htm</t>
        </is>
      </c>
    </row>
    <row r="81">
      <c r="B81" s="916" t="inlineStr">
        <is>
          <t>Hist!I61 Prepaid Expenses</t>
        </is>
      </c>
      <c r="C81" s="916" t="n">
        <v>46.361</v>
      </c>
      <c r="D81" s="916" t="inlineStr">
        <is>
          <t>FY2025</t>
        </is>
      </c>
      <c r="E81" s="916" t="inlineStr">
        <is>
          <t>8-K Ex.99.1 (Q4 FY26 release, 9/10/2026, prior-year column) / FY26 10-K</t>
        </is>
      </c>
      <c r="F81" s="916" t="inlineStr">
        <is>
          <t>Prepaid expenses and other assets</t>
        </is>
      </c>
      <c r="G81" s="916" t="inlineStr">
        <is>
          <t>https://www.sec.gov/Archives/edgar/data/900075/000119312526387902/cprt-ex99_1.htm</t>
        </is>
      </c>
    </row>
    <row r="82">
      <c r="B82" s="916" t="inlineStr">
        <is>
          <t>Hist!J61 Prepaid Expenses</t>
        </is>
      </c>
      <c r="C82" s="916" t="n">
        <v>44.959</v>
      </c>
      <c r="D82" s="916" t="inlineStr">
        <is>
          <t>FY2026</t>
        </is>
      </c>
      <c r="E82" s="916" t="inlineStr">
        <is>
          <t>8-K Ex.99.1 (Q4 FY26 release, 9/10/2026) / FY26 10-K filed 9/28/2026</t>
        </is>
      </c>
      <c r="F82" s="916" t="inlineStr">
        <is>
          <t>Prepaid expenses and other assets</t>
        </is>
      </c>
      <c r="G82" s="916" t="inlineStr">
        <is>
          <t>https://www.sec.gov/Archives/edgar/data/900075/000119312526387902/cprt-ex99_1.htm</t>
        </is>
      </c>
    </row>
    <row r="83">
      <c r="B83" s="916" t="inlineStr">
        <is>
          <t>Hist!G62 Inventories</t>
        </is>
      </c>
      <c r="C83" s="916" t="n">
        <v>39.973</v>
      </c>
      <c r="D83" s="916" t="inlineStr">
        <is>
          <t>FY2023</t>
        </is>
      </c>
      <c r="E83" s="916" t="inlineStr">
        <is>
          <t>8-K Ex.99.1 (Q4 FY23 release, 9/14/2023) / FY23 10-K</t>
        </is>
      </c>
      <c r="F83" s="916" t="inlineStr">
        <is>
          <t>Inventories</t>
        </is>
      </c>
      <c r="G83" s="916" t="inlineStr">
        <is>
          <t>https://www.sec.gov/Archives/edgar/data/900075/000090007523000027/cprt07312023ex99-1.htm</t>
        </is>
      </c>
    </row>
    <row r="84">
      <c r="B84" s="916" t="inlineStr">
        <is>
          <t>Hist!H62 Inventories</t>
        </is>
      </c>
      <c r="C84" s="916" t="n">
        <v>43.639</v>
      </c>
      <c r="D84" s="916" t="inlineStr">
        <is>
          <t>FY2024</t>
        </is>
      </c>
      <c r="E84" s="916" t="inlineStr">
        <is>
          <t>8-K Ex.99.1 (Q4 FY24 release, 9/4/2024) / FY24 10-K</t>
        </is>
      </c>
      <c r="F84" s="916" t="inlineStr">
        <is>
          <t>Inventories</t>
        </is>
      </c>
      <c r="G84" s="916" t="inlineStr">
        <is>
          <t>https://www.sec.gov/Archives/edgar/data/900075/000090007524000019/cprt07312024ex99-1.htm</t>
        </is>
      </c>
    </row>
    <row r="85">
      <c r="B85" s="916" t="inlineStr">
        <is>
          <t>Hist!I62 Inventories</t>
        </is>
      </c>
      <c r="C85" s="916" t="n">
        <v>39.661</v>
      </c>
      <c r="D85" s="916" t="inlineStr">
        <is>
          <t>FY2025</t>
        </is>
      </c>
      <c r="E85" s="916" t="inlineStr">
        <is>
          <t>8-K Ex.99.1 (Q4 FY26 release, 9/10/2026, prior-year column) / FY26 10-K</t>
        </is>
      </c>
      <c r="F85" s="916" t="inlineStr">
        <is>
          <t>Inventories</t>
        </is>
      </c>
      <c r="G85" s="916" t="inlineStr">
        <is>
          <t>https://www.sec.gov/Archives/edgar/data/900075/000119312526387902/cprt-ex99_1.htm</t>
        </is>
      </c>
    </row>
    <row r="86">
      <c r="B86" s="916" t="inlineStr">
        <is>
          <t>Hist!J62 Inventories</t>
        </is>
      </c>
      <c r="C86" s="916" t="n">
        <v>51.382</v>
      </c>
      <c r="D86" s="916" t="inlineStr">
        <is>
          <t>FY2026</t>
        </is>
      </c>
      <c r="E86" s="916" t="inlineStr">
        <is>
          <t>8-K Ex.99.1 (Q4 FY26 release, 9/10/2026) / FY26 10-K filed 9/28/2026</t>
        </is>
      </c>
      <c r="F86" s="916" t="inlineStr">
        <is>
          <t>Inventories</t>
        </is>
      </c>
      <c r="G86" s="916" t="inlineStr">
        <is>
          <t>https://www.sec.gov/Archives/edgar/data/900075/000119312526387902/cprt-ex99_1.htm</t>
        </is>
      </c>
    </row>
    <row r="87">
      <c r="B87" s="916" t="inlineStr">
        <is>
          <t>Hist!G63 Vehicle pooling costs + income taxes receivable</t>
        </is>
      </c>
      <c r="C87" s="916" t="inlineStr">
        <is>
          <t>123.725+6.574</t>
        </is>
      </c>
      <c r="D87" s="916" t="inlineStr">
        <is>
          <t>FY2023</t>
        </is>
      </c>
      <c r="E87" s="916" t="inlineStr">
        <is>
          <t>8-K Ex.99.1 (Q4 FY23 release, 9/14/2023) / FY23 10-K</t>
        </is>
      </c>
      <c r="F87" s="916" t="inlineStr">
        <is>
          <t>Vehicle pooling costs + Income taxes receivable</t>
        </is>
      </c>
      <c r="G87" s="916" t="inlineStr">
        <is>
          <t>https://www.sec.gov/Archives/edgar/data/900075/000090007523000027/cprt07312023ex99-1.htm</t>
        </is>
      </c>
    </row>
    <row r="88">
      <c r="B88" s="916" t="inlineStr">
        <is>
          <t>Hist!H63 Vehicle pooling costs + income taxes receivable</t>
        </is>
      </c>
      <c r="C88" s="916" t="inlineStr">
        <is>
          <t>132.638+0</t>
        </is>
      </c>
      <c r="D88" s="916" t="inlineStr">
        <is>
          <t>FY2024</t>
        </is>
      </c>
      <c r="E88" s="916" t="inlineStr">
        <is>
          <t>8-K Ex.99.1 (Q4 FY24 release, 9/4/2024) / FY24 10-K</t>
        </is>
      </c>
      <c r="F88" s="916" t="inlineStr">
        <is>
          <t>Vehicle pooling costs + Income taxes receivable</t>
        </is>
      </c>
      <c r="G88" s="916" t="inlineStr">
        <is>
          <t>https://www.sec.gov/Archives/edgar/data/900075/000090007524000019/cprt07312024ex99-1.htm</t>
        </is>
      </c>
    </row>
    <row r="89">
      <c r="B89" s="916" t="inlineStr">
        <is>
          <t>Hist!I63 Vehicle pooling costs + income taxes receivable</t>
        </is>
      </c>
      <c r="C89" s="916" t="inlineStr">
        <is>
          <t>116.145+0.58</t>
        </is>
      </c>
      <c r="D89" s="916" t="inlineStr">
        <is>
          <t>FY2025</t>
        </is>
      </c>
      <c r="E89" s="916" t="inlineStr">
        <is>
          <t>8-K Ex.99.1 (Q4 FY26 release, 9/10/2026, prior-year column) / FY26 10-K</t>
        </is>
      </c>
      <c r="F89" s="916" t="inlineStr">
        <is>
          <t>Vehicle pooling costs + Income taxes receivable</t>
        </is>
      </c>
      <c r="G89" s="916" t="inlineStr">
        <is>
          <t>https://www.sec.gov/Archives/edgar/data/900075/000119312526387902/cprt-ex99_1.htm</t>
        </is>
      </c>
    </row>
    <row r="90">
      <c r="B90" s="916" t="inlineStr">
        <is>
          <t>Hist!J63 Vehicle pooling costs + income taxes receivable</t>
        </is>
      </c>
      <c r="C90" s="916" t="inlineStr">
        <is>
          <t>122.948+49.856</t>
        </is>
      </c>
      <c r="D90" s="916" t="inlineStr">
        <is>
          <t>FY2026</t>
        </is>
      </c>
      <c r="E90" s="916" t="inlineStr">
        <is>
          <t>8-K Ex.99.1 (Q4 FY26 release, 9/10/2026) / FY26 10-K filed 9/28/2026</t>
        </is>
      </c>
      <c r="F90" s="916" t="inlineStr">
        <is>
          <t>Vehicle pooling costs + Income taxes receivable</t>
        </is>
      </c>
      <c r="G90" s="916" t="inlineStr">
        <is>
          <t>https://www.sec.gov/Archives/edgar/data/900075/000119312526387902/cprt-ex99_1.htm</t>
        </is>
      </c>
    </row>
    <row r="91">
      <c r="B91" s="916" t="inlineStr">
        <is>
          <t>Hist!G66 PP&amp;E, net (gross/accumulated split not loaded)</t>
        </is>
      </c>
      <c r="C91" s="916" t="n">
        <v>2844.339</v>
      </c>
      <c r="D91" s="916" t="inlineStr">
        <is>
          <t>FY2023</t>
        </is>
      </c>
      <c r="E91" s="916" t="inlineStr">
        <is>
          <t>8-K Ex.99.1 (Q4 FY23 release, 9/14/2023) / FY23 10-K</t>
        </is>
      </c>
      <c r="F91" s="916" t="inlineStr">
        <is>
          <t>Property and equipment, net</t>
        </is>
      </c>
      <c r="G91" s="916" t="inlineStr">
        <is>
          <t>https://www.sec.gov/Archives/edgar/data/900075/000090007523000027/cprt07312023ex99-1.htm</t>
        </is>
      </c>
    </row>
    <row r="92">
      <c r="B92" s="916" t="inlineStr">
        <is>
          <t>Hist!H66 PP&amp;E, net (gross/accumulated split not loaded)</t>
        </is>
      </c>
      <c r="C92" s="916" t="n">
        <v>3175.838</v>
      </c>
      <c r="D92" s="916" t="inlineStr">
        <is>
          <t>FY2024</t>
        </is>
      </c>
      <c r="E92" s="916" t="inlineStr">
        <is>
          <t>8-K Ex.99.1 (Q4 FY24 release, 9/4/2024) / FY24 10-K</t>
        </is>
      </c>
      <c r="F92" s="916" t="inlineStr">
        <is>
          <t>Property and equipment, net</t>
        </is>
      </c>
      <c r="G92" s="916" t="inlineStr">
        <is>
          <t>https://www.sec.gov/Archives/edgar/data/900075/000090007524000019/cprt07312024ex99-1.htm</t>
        </is>
      </c>
    </row>
    <row r="93">
      <c r="B93" s="916" t="inlineStr">
        <is>
          <t>Hist!I66 PP&amp;E, net (gross/accumulated split not loaded)</t>
        </is>
      </c>
      <c r="C93" s="916" t="n">
        <v>3598.093</v>
      </c>
      <c r="D93" s="916" t="inlineStr">
        <is>
          <t>FY2025</t>
        </is>
      </c>
      <c r="E93" s="916" t="inlineStr">
        <is>
          <t>8-K Ex.99.1 (Q4 FY26 release, 9/10/2026, prior-year column) / FY26 10-K</t>
        </is>
      </c>
      <c r="F93" s="916" t="inlineStr">
        <is>
          <t>Property and equipment, net</t>
        </is>
      </c>
      <c r="G93" s="916" t="inlineStr">
        <is>
          <t>https://www.sec.gov/Archives/edgar/data/900075/000119312526387902/cprt-ex99_1.htm</t>
        </is>
      </c>
    </row>
    <row r="94">
      <c r="B94" s="916" t="inlineStr">
        <is>
          <t>Hist!J66 PP&amp;E, net (gross/accumulated split not loaded)</t>
        </is>
      </c>
      <c r="C94" s="916" t="n">
        <v>3733.22</v>
      </c>
      <c r="D94" s="916" t="inlineStr">
        <is>
          <t>FY2026</t>
        </is>
      </c>
      <c r="E94" s="916" t="inlineStr">
        <is>
          <t>8-K Ex.99.1 (Q4 FY26 release, 9/10/2026) / FY26 10-K filed 9/28/2026</t>
        </is>
      </c>
      <c r="F94" s="916" t="inlineStr">
        <is>
          <t>Property and equipment, net</t>
        </is>
      </c>
      <c r="G94" s="916" t="inlineStr">
        <is>
          <t>https://www.sec.gov/Archives/edgar/data/900075/000119312526387902/cprt-ex99_1.htm</t>
        </is>
      </c>
    </row>
    <row r="95">
      <c r="B95" s="916" t="inlineStr">
        <is>
          <t>Hist!G67 (Accumulated Depreciation)</t>
        </is>
      </c>
      <c r="C95" s="916" t="n">
        <v>0</v>
      </c>
      <c r="D95" s="916" t="inlineStr">
        <is>
          <t>FY2023</t>
        </is>
      </c>
      <c r="E95" s="916" t="inlineStr">
        <is>
          <t>8-K Ex.99.1 (Q4 FY23 release, 9/14/2023) / FY23 10-K</t>
        </is>
      </c>
      <c r="F95" s="916" t="inlineStr">
        <is>
          <t>Not loaded (net basis in row 66)</t>
        </is>
      </c>
      <c r="G95" s="916" t="inlineStr">
        <is>
          <t>https://www.sec.gov/Archives/edgar/data/900075/000090007523000027/cprt07312023ex99-1.htm</t>
        </is>
      </c>
    </row>
    <row r="96">
      <c r="B96" s="916" t="inlineStr">
        <is>
          <t>Hist!H67 (Accumulated Depreciation)</t>
        </is>
      </c>
      <c r="C96" s="916" t="n">
        <v>0</v>
      </c>
      <c r="D96" s="916" t="inlineStr">
        <is>
          <t>FY2024</t>
        </is>
      </c>
      <c r="E96" s="916" t="inlineStr">
        <is>
          <t>8-K Ex.99.1 (Q4 FY24 release, 9/4/2024) / FY24 10-K</t>
        </is>
      </c>
      <c r="F96" s="916" t="inlineStr">
        <is>
          <t>Not loaded (net basis in row 66)</t>
        </is>
      </c>
      <c r="G96" s="916" t="inlineStr">
        <is>
          <t>https://www.sec.gov/Archives/edgar/data/900075/000090007524000019/cprt07312024ex99-1.htm</t>
        </is>
      </c>
    </row>
    <row r="97">
      <c r="B97" s="916" t="inlineStr">
        <is>
          <t>Hist!I67 (Accumulated Depreciation)</t>
        </is>
      </c>
      <c r="C97" s="916" t="n">
        <v>0</v>
      </c>
      <c r="D97" s="916" t="inlineStr">
        <is>
          <t>FY2025</t>
        </is>
      </c>
      <c r="E97" s="916" t="inlineStr">
        <is>
          <t>8-K Ex.99.1 (Q4 FY26 release, 9/10/2026, prior-year column) / FY26 10-K</t>
        </is>
      </c>
      <c r="F97" s="916" t="inlineStr">
        <is>
          <t>Not loaded (net basis in row 66)</t>
        </is>
      </c>
      <c r="G97" s="916" t="inlineStr">
        <is>
          <t>https://www.sec.gov/Archives/edgar/data/900075/000119312526387902/cprt-ex99_1.htm</t>
        </is>
      </c>
    </row>
    <row r="98">
      <c r="B98" s="916" t="inlineStr">
        <is>
          <t>Hist!J67 (Accumulated Depreciation)</t>
        </is>
      </c>
      <c r="C98" s="916" t="n">
        <v>0</v>
      </c>
      <c r="D98" s="916" t="inlineStr">
        <is>
          <t>FY2026</t>
        </is>
      </c>
      <c r="E98" s="916" t="inlineStr">
        <is>
          <t>8-K Ex.99.1 (Q4 FY26 release, 9/10/2026) / FY26 10-K filed 9/28/2026</t>
        </is>
      </c>
      <c r="F98" s="916" t="inlineStr">
        <is>
          <t>Not loaded (net basis in row 66)</t>
        </is>
      </c>
      <c r="G98" s="916" t="inlineStr">
        <is>
          <t>https://www.sec.gov/Archives/edgar/data/900075/000119312526387902/cprt-ex99_1.htm</t>
        </is>
      </c>
    </row>
    <row r="99">
      <c r="B99" s="916" t="inlineStr">
        <is>
          <t>Hist!G71 Goodwill + intangibles, net</t>
        </is>
      </c>
      <c r="C99" s="916" t="inlineStr">
        <is>
          <t>394.289+62.702</t>
        </is>
      </c>
      <c r="D99" s="916" t="inlineStr">
        <is>
          <t>FY2023</t>
        </is>
      </c>
      <c r="E99" s="916" t="inlineStr">
        <is>
          <t>8-K Ex.99.1 (Q4 FY23 release, 9/14/2023) / FY23 10-K</t>
        </is>
      </c>
      <c r="F99" s="916" t="inlineStr">
        <is>
          <t>Goodwill + Intangibles, net</t>
        </is>
      </c>
      <c r="G99" s="916" t="inlineStr">
        <is>
          <t>https://www.sec.gov/Archives/edgar/data/900075/000090007523000027/cprt07312023ex99-1.htm</t>
        </is>
      </c>
    </row>
    <row r="100">
      <c r="B100" s="916" t="inlineStr">
        <is>
          <t>Hist!H71 Goodwill + intangibles, net</t>
        </is>
      </c>
      <c r="C100" s="916" t="inlineStr">
        <is>
          <t>513.909+74.088</t>
        </is>
      </c>
      <c r="D100" s="916" t="inlineStr">
        <is>
          <t>FY2024</t>
        </is>
      </c>
      <c r="E100" s="916" t="inlineStr">
        <is>
          <t>8-K Ex.99.1 (Q4 FY24 release, 9/4/2024) / FY24 10-K</t>
        </is>
      </c>
      <c r="F100" s="916" t="inlineStr">
        <is>
          <t>Goodwill + Intangibles, net</t>
        </is>
      </c>
      <c r="G100" s="916" t="inlineStr">
        <is>
          <t>https://www.sec.gov/Archives/edgar/data/900075/000090007524000019/cprt07312024ex99-1.htm</t>
        </is>
      </c>
    </row>
    <row r="101">
      <c r="B101" s="916" t="inlineStr">
        <is>
          <t>Hist!I71 Goodwill + intangibles, net</t>
        </is>
      </c>
      <c r="C101" s="916" t="inlineStr">
        <is>
          <t>517.779+62.832</t>
        </is>
      </c>
      <c r="D101" s="916" t="inlineStr">
        <is>
          <t>FY2025</t>
        </is>
      </c>
      <c r="E101" s="916" t="inlineStr">
        <is>
          <t>8-K Ex.99.1 (Q4 FY26 release, 9/10/2026, prior-year column) / FY26 10-K</t>
        </is>
      </c>
      <c r="F101" s="916" t="inlineStr">
        <is>
          <t>Goodwill + Intangibles, net</t>
        </is>
      </c>
      <c r="G101" s="916" t="inlineStr">
        <is>
          <t>https://www.sec.gov/Archives/edgar/data/900075/000119312526387902/cprt-ex99_1.htm</t>
        </is>
      </c>
    </row>
    <row r="102">
      <c r="B102" s="916" t="inlineStr">
        <is>
          <t>Hist!J71 Goodwill + intangibles, net</t>
        </is>
      </c>
      <c r="C102" s="916" t="inlineStr">
        <is>
          <t>511.297+50.477</t>
        </is>
      </c>
      <c r="D102" s="916" t="inlineStr">
        <is>
          <t>FY2026</t>
        </is>
      </c>
      <c r="E102" s="916" t="inlineStr">
        <is>
          <t>8-K Ex.99.1 (Q4 FY26 release, 9/10/2026) / FY26 10-K filed 9/28/2026</t>
        </is>
      </c>
      <c r="F102" s="916" t="inlineStr">
        <is>
          <t>Goodwill + Intangibles, net</t>
        </is>
      </c>
      <c r="G102" s="916" t="inlineStr">
        <is>
          <t>https://www.sec.gov/Archives/edgar/data/900075/000119312526387902/cprt-ex99_1.htm</t>
        </is>
      </c>
    </row>
    <row r="103">
      <c r="B103" s="916" t="inlineStr">
        <is>
          <t>Hist!G72 (Accumulated Amortization)</t>
        </is>
      </c>
      <c r="C103" s="916" t="n">
        <v>0</v>
      </c>
      <c r="D103" s="916" t="inlineStr">
        <is>
          <t>FY2023</t>
        </is>
      </c>
      <c r="E103" s="916" t="inlineStr">
        <is>
          <t>8-K Ex.99.1 (Q4 FY23 release, 9/14/2023) / FY23 10-K</t>
        </is>
      </c>
      <c r="F103" s="916" t="inlineStr">
        <is>
          <t>Not loaded (net basis in row 71)</t>
        </is>
      </c>
      <c r="G103" s="916" t="inlineStr">
        <is>
          <t>https://www.sec.gov/Archives/edgar/data/900075/000090007523000027/cprt07312023ex99-1.htm</t>
        </is>
      </c>
    </row>
    <row r="104">
      <c r="B104" s="916" t="inlineStr">
        <is>
          <t>Hist!H72 (Accumulated Amortization)</t>
        </is>
      </c>
      <c r="C104" s="916" t="n">
        <v>0</v>
      </c>
      <c r="D104" s="916" t="inlineStr">
        <is>
          <t>FY2024</t>
        </is>
      </c>
      <c r="E104" s="916" t="inlineStr">
        <is>
          <t>8-K Ex.99.1 (Q4 FY24 release, 9/4/2024) / FY24 10-K</t>
        </is>
      </c>
      <c r="F104" s="916" t="inlineStr">
        <is>
          <t>Not loaded (net basis in row 71)</t>
        </is>
      </c>
      <c r="G104" s="916" t="inlineStr">
        <is>
          <t>https://www.sec.gov/Archives/edgar/data/900075/000090007524000019/cprt07312024ex99-1.htm</t>
        </is>
      </c>
    </row>
    <row r="105">
      <c r="B105" s="916" t="inlineStr">
        <is>
          <t>Hist!I72 (Accumulated Amortization)</t>
        </is>
      </c>
      <c r="C105" s="916" t="n">
        <v>0</v>
      </c>
      <c r="D105" s="916" t="inlineStr">
        <is>
          <t>FY2025</t>
        </is>
      </c>
      <c r="E105" s="916" t="inlineStr">
        <is>
          <t>8-K Ex.99.1 (Q4 FY26 release, 9/10/2026, prior-year column) / FY26 10-K</t>
        </is>
      </c>
      <c r="F105" s="916" t="inlineStr">
        <is>
          <t>Not loaded (net basis in row 71)</t>
        </is>
      </c>
      <c r="G105" s="916" t="inlineStr">
        <is>
          <t>https://www.sec.gov/Archives/edgar/data/900075/000119312526387902/cprt-ex99_1.htm</t>
        </is>
      </c>
    </row>
    <row r="106">
      <c r="B106" s="916" t="inlineStr">
        <is>
          <t>Hist!J72 (Accumulated Amortization)</t>
        </is>
      </c>
      <c r="C106" s="916" t="n">
        <v>0</v>
      </c>
      <c r="D106" s="916" t="inlineStr">
        <is>
          <t>FY2026</t>
        </is>
      </c>
      <c r="E106" s="916" t="inlineStr">
        <is>
          <t>8-K Ex.99.1 (Q4 FY26 release, 9/10/2026) / FY26 10-K filed 9/28/2026</t>
        </is>
      </c>
      <c r="F106" s="916" t="inlineStr">
        <is>
          <t>Not loaded (net basis in row 71)</t>
        </is>
      </c>
      <c r="G106" s="916" t="inlineStr">
        <is>
          <t>https://www.sec.gov/Archives/edgar/data/900075/000119312526387902/cprt-ex99_1.htm</t>
        </is>
      </c>
    </row>
    <row r="107">
      <c r="B107" s="916" t="inlineStr">
        <is>
          <t>Hist!G76 Operating lease ROU assets + other assets</t>
        </is>
      </c>
      <c r="C107" s="916" t="inlineStr">
        <is>
          <t>108.139+65.806</t>
        </is>
      </c>
      <c r="D107" s="916" t="inlineStr">
        <is>
          <t>FY2023</t>
        </is>
      </c>
      <c r="E107" s="916" t="inlineStr">
        <is>
          <t>8-K Ex.99.1 (Q4 FY23 release, 9/14/2023) / FY23 10-K</t>
        </is>
      </c>
      <c r="F107" s="916" t="inlineStr">
        <is>
          <t>Operating lease right-of-use assets + Other assets</t>
        </is>
      </c>
      <c r="G107" s="916" t="inlineStr">
        <is>
          <t>https://www.sec.gov/Archives/edgar/data/900075/000090007523000027/cprt07312023ex99-1.htm</t>
        </is>
      </c>
    </row>
    <row r="108">
      <c r="B108" s="916" t="inlineStr">
        <is>
          <t>Hist!H76 Operating lease ROU assets + other assets</t>
        </is>
      </c>
      <c r="C108" s="916" t="inlineStr">
        <is>
          <t>116.301+129.444</t>
        </is>
      </c>
      <c r="D108" s="916" t="inlineStr">
        <is>
          <t>FY2024</t>
        </is>
      </c>
      <c r="E108" s="916" t="inlineStr">
        <is>
          <t>8-K Ex.99.1 (Q4 FY24 release, 9/4/2024) / FY24 10-K</t>
        </is>
      </c>
      <c r="F108" s="916" t="inlineStr">
        <is>
          <t>Operating lease right-of-use assets + Other assets</t>
        </is>
      </c>
      <c r="G108" s="916" t="inlineStr">
        <is>
          <t>https://www.sec.gov/Archives/edgar/data/900075/000090007524000019/cprt07312024ex99-1.htm</t>
        </is>
      </c>
    </row>
    <row r="109">
      <c r="B109" s="916" t="inlineStr">
        <is>
          <t>Hist!I76 Operating lease ROU assets + other assets</t>
        </is>
      </c>
      <c r="C109" s="916" t="inlineStr">
        <is>
          <t>99.708+57.862</t>
        </is>
      </c>
      <c r="D109" s="916" t="inlineStr">
        <is>
          <t>FY2025</t>
        </is>
      </c>
      <c r="E109" s="916" t="inlineStr">
        <is>
          <t>8-K Ex.99.1 (Q4 FY26 release, 9/10/2026, prior-year column) / FY26 10-K</t>
        </is>
      </c>
      <c r="F109" s="916" t="inlineStr">
        <is>
          <t>Operating lease right-of-use assets + Other assets</t>
        </is>
      </c>
      <c r="G109" s="916" t="inlineStr">
        <is>
          <t>https://www.sec.gov/Archives/edgar/data/900075/000119312526387902/cprt-ex99_1.htm</t>
        </is>
      </c>
    </row>
    <row r="110">
      <c r="B110" s="916" t="inlineStr">
        <is>
          <t>Hist!J76 Operating lease ROU assets + other assets</t>
        </is>
      </c>
      <c r="C110" s="916" t="inlineStr">
        <is>
          <t>83.728+80.894</t>
        </is>
      </c>
      <c r="D110" s="916" t="inlineStr">
        <is>
          <t>FY2026</t>
        </is>
      </c>
      <c r="E110" s="916" t="inlineStr">
        <is>
          <t>8-K Ex.99.1 (Q4 FY26 release, 9/10/2026) / FY26 10-K filed 9/28/2026</t>
        </is>
      </c>
      <c r="F110" s="916" t="inlineStr">
        <is>
          <t>Operating lease right-of-use assets + Other assets</t>
        </is>
      </c>
      <c r="G110" s="916" t="inlineStr">
        <is>
          <t>https://www.sec.gov/Archives/edgar/data/900075/000119312526387902/cprt-ex99_1.htm</t>
        </is>
      </c>
    </row>
    <row r="111">
      <c r="B111" s="916" t="inlineStr">
        <is>
          <t>Hist!G82 Accounts Payable</t>
        </is>
      </c>
      <c r="C111" s="916" t="n">
        <v>440.81</v>
      </c>
      <c r="D111" s="916" t="inlineStr">
        <is>
          <t>FY2023</t>
        </is>
      </c>
      <c r="E111" s="916" t="inlineStr">
        <is>
          <t>8-K Ex.99.1 (Q4 FY23 release, 9/14/2023) / FY23 10-K</t>
        </is>
      </c>
      <c r="F111" s="916" t="inlineStr">
        <is>
          <t>Accounts payable and accrued liabilities (reported combined)</t>
        </is>
      </c>
      <c r="G111" s="916" t="inlineStr">
        <is>
          <t>https://www.sec.gov/Archives/edgar/data/900075/000090007523000027/cprt07312023ex99-1.htm</t>
        </is>
      </c>
    </row>
    <row r="112">
      <c r="B112" s="916" t="inlineStr">
        <is>
          <t>Hist!H82 Accounts Payable</t>
        </is>
      </c>
      <c r="C112" s="916" t="n">
        <v>518.148</v>
      </c>
      <c r="D112" s="916" t="inlineStr">
        <is>
          <t>FY2024</t>
        </is>
      </c>
      <c r="E112" s="916" t="inlineStr">
        <is>
          <t>8-K Ex.99.1 (Q4 FY24 release, 9/4/2024) / FY24 10-K</t>
        </is>
      </c>
      <c r="F112" s="916" t="inlineStr">
        <is>
          <t>Accounts payable and accrued liabilities (reported combined)</t>
        </is>
      </c>
      <c r="G112" s="916" t="inlineStr">
        <is>
          <t>https://www.sec.gov/Archives/edgar/data/900075/000090007524000019/cprt07312024ex99-1.htm</t>
        </is>
      </c>
    </row>
    <row r="113">
      <c r="B113" s="916" t="inlineStr">
        <is>
          <t>Hist!I82 Accounts Payable</t>
        </is>
      </c>
      <c r="C113" s="916" t="n">
        <v>591.831</v>
      </c>
      <c r="D113" s="916" t="inlineStr">
        <is>
          <t>FY2025</t>
        </is>
      </c>
      <c r="E113" s="916" t="inlineStr">
        <is>
          <t>8-K Ex.99.1 (Q4 FY26 release, 9/10/2026, prior-year column) / FY26 10-K</t>
        </is>
      </c>
      <c r="F113" s="916" t="inlineStr">
        <is>
          <t>Accounts payable and accrued liabilities (reported combined)</t>
        </is>
      </c>
      <c r="G113" s="916" t="inlineStr">
        <is>
          <t>https://www.sec.gov/Archives/edgar/data/900075/000119312526387902/cprt-ex99_1.htm</t>
        </is>
      </c>
    </row>
    <row r="114">
      <c r="B114" s="916" t="inlineStr">
        <is>
          <t>Hist!J82 Accounts Payable</t>
        </is>
      </c>
      <c r="C114" s="916" t="n">
        <v>634.675</v>
      </c>
      <c r="D114" s="916" t="inlineStr">
        <is>
          <t>FY2026</t>
        </is>
      </c>
      <c r="E114" s="916" t="inlineStr">
        <is>
          <t>8-K Ex.99.1 (Q4 FY26 release, 9/10/2026) / FY26 10-K filed 9/28/2026</t>
        </is>
      </c>
      <c r="F114" s="916" t="inlineStr">
        <is>
          <t>Accounts payable and accrued liabilities (reported combined)</t>
        </is>
      </c>
      <c r="G114" s="916" t="inlineStr">
        <is>
          <t>https://www.sec.gov/Archives/edgar/data/900075/000119312526387902/cprt-ex99_1.htm</t>
        </is>
      </c>
    </row>
    <row r="115">
      <c r="B115" s="916" t="inlineStr">
        <is>
          <t>Hist!G83 Accrued Expenses</t>
        </is>
      </c>
      <c r="C115" s="916" t="n">
        <v>0</v>
      </c>
      <c r="D115" s="916" t="inlineStr">
        <is>
          <t>FY2023</t>
        </is>
      </c>
      <c r="E115" s="916" t="inlineStr">
        <is>
          <t>8-K Ex.99.1 (Q4 FY23 release, 9/14/2023) / FY23 10-K</t>
        </is>
      </c>
      <c r="F115" s="916" t="inlineStr">
        <is>
          <t>Reported combined with accounts payable (row 82)</t>
        </is>
      </c>
      <c r="G115" s="916" t="inlineStr">
        <is>
          <t>https://www.sec.gov/Archives/edgar/data/900075/000090007523000027/cprt07312023ex99-1.htm</t>
        </is>
      </c>
    </row>
    <row r="116">
      <c r="B116" s="916" t="inlineStr">
        <is>
          <t>Hist!H83 Accrued Expenses</t>
        </is>
      </c>
      <c r="C116" s="916" t="n">
        <v>0</v>
      </c>
      <c r="D116" s="916" t="inlineStr">
        <is>
          <t>FY2024</t>
        </is>
      </c>
      <c r="E116" s="916" t="inlineStr">
        <is>
          <t>8-K Ex.99.1 (Q4 FY24 release, 9/4/2024) / FY24 10-K</t>
        </is>
      </c>
      <c r="F116" s="916" t="inlineStr">
        <is>
          <t>Reported combined with accounts payable (row 82)</t>
        </is>
      </c>
      <c r="G116" s="916" t="inlineStr">
        <is>
          <t>https://www.sec.gov/Archives/edgar/data/900075/000090007524000019/cprt07312024ex99-1.htm</t>
        </is>
      </c>
    </row>
    <row r="117">
      <c r="B117" s="916" t="inlineStr">
        <is>
          <t>Hist!I83 Accrued Expenses</t>
        </is>
      </c>
      <c r="C117" s="916" t="n">
        <v>0</v>
      </c>
      <c r="D117" s="916" t="inlineStr">
        <is>
          <t>FY2025</t>
        </is>
      </c>
      <c r="E117" s="916" t="inlineStr">
        <is>
          <t>8-K Ex.99.1 (Q4 FY26 release, 9/10/2026, prior-year column) / FY26 10-K</t>
        </is>
      </c>
      <c r="F117" s="916" t="inlineStr">
        <is>
          <t>Reported combined with accounts payable (row 82)</t>
        </is>
      </c>
      <c r="G117" s="916" t="inlineStr">
        <is>
          <t>https://www.sec.gov/Archives/edgar/data/900075/000119312526387902/cprt-ex99_1.htm</t>
        </is>
      </c>
    </row>
    <row r="118">
      <c r="B118" s="916" t="inlineStr">
        <is>
          <t>Hist!J83 Accrued Expenses</t>
        </is>
      </c>
      <c r="C118" s="916" t="n">
        <v>0</v>
      </c>
      <c r="D118" s="916" t="inlineStr">
        <is>
          <t>FY2026</t>
        </is>
      </c>
      <c r="E118" s="916" t="inlineStr">
        <is>
          <t>8-K Ex.99.1 (Q4 FY26 release, 9/10/2026) / FY26 10-K filed 9/28/2026</t>
        </is>
      </c>
      <c r="F118" s="916" t="inlineStr">
        <is>
          <t>Reported combined with accounts payable (row 82)</t>
        </is>
      </c>
      <c r="G118" s="916" t="inlineStr">
        <is>
          <t>https://www.sec.gov/Archives/edgar/data/900075/000119312526387902/cprt-ex99_1.htm</t>
        </is>
      </c>
    </row>
    <row r="119">
      <c r="B119" s="916" t="inlineStr">
        <is>
          <t>Hist!G84 Deferred Revenue</t>
        </is>
      </c>
      <c r="C119" s="916" t="n">
        <v>26.117</v>
      </c>
      <c r="D119" s="916" t="inlineStr">
        <is>
          <t>FY2023</t>
        </is>
      </c>
      <c r="E119" s="916" t="inlineStr">
        <is>
          <t>8-K Ex.99.1 (Q4 FY23 release, 9/14/2023) / FY23 10-K</t>
        </is>
      </c>
      <c r="F119" s="916" t="inlineStr">
        <is>
          <t>Deferred revenue</t>
        </is>
      </c>
      <c r="G119" s="916" t="inlineStr">
        <is>
          <t>https://www.sec.gov/Archives/edgar/data/900075/000090007523000027/cprt07312023ex99-1.htm</t>
        </is>
      </c>
    </row>
    <row r="120">
      <c r="B120" s="916" t="inlineStr">
        <is>
          <t>Hist!H84 Deferred Revenue</t>
        </is>
      </c>
      <c r="C120" s="916" t="n">
        <v>28.121</v>
      </c>
      <c r="D120" s="916" t="inlineStr">
        <is>
          <t>FY2024</t>
        </is>
      </c>
      <c r="E120" s="916" t="inlineStr">
        <is>
          <t>8-K Ex.99.1 (Q4 FY24 release, 9/4/2024) / FY24 10-K</t>
        </is>
      </c>
      <c r="F120" s="916" t="inlineStr">
        <is>
          <t>Deferred revenue</t>
        </is>
      </c>
      <c r="G120" s="916" t="inlineStr">
        <is>
          <t>https://www.sec.gov/Archives/edgar/data/900075/000090007524000019/cprt07312024ex99-1.htm</t>
        </is>
      </c>
    </row>
    <row r="121">
      <c r="B121" s="916" t="inlineStr">
        <is>
          <t>Hist!I84 Deferred Revenue</t>
        </is>
      </c>
      <c r="C121" s="916" t="n">
        <v>30.44</v>
      </c>
      <c r="D121" s="916" t="inlineStr">
        <is>
          <t>FY2025</t>
        </is>
      </c>
      <c r="E121" s="916" t="inlineStr">
        <is>
          <t>8-K Ex.99.1 (Q4 FY26 release, 9/10/2026, prior-year column) / FY26 10-K</t>
        </is>
      </c>
      <c r="F121" s="916" t="inlineStr">
        <is>
          <t>Deferred revenue</t>
        </is>
      </c>
      <c r="G121" s="916" t="inlineStr">
        <is>
          <t>https://www.sec.gov/Archives/edgar/data/900075/000119312526387902/cprt-ex99_1.htm</t>
        </is>
      </c>
    </row>
    <row r="122">
      <c r="B122" s="916" t="inlineStr">
        <is>
          <t>Hist!J84 Deferred Revenue</t>
        </is>
      </c>
      <c r="C122" s="916" t="n">
        <v>32.466</v>
      </c>
      <c r="D122" s="916" t="inlineStr">
        <is>
          <t>FY2026</t>
        </is>
      </c>
      <c r="E122" s="916" t="inlineStr">
        <is>
          <t>8-K Ex.99.1 (Q4 FY26 release, 9/10/2026) / FY26 10-K filed 9/28/2026</t>
        </is>
      </c>
      <c r="F122" s="916" t="inlineStr">
        <is>
          <t>Deferred revenue</t>
        </is>
      </c>
      <c r="G122" s="916" t="inlineStr">
        <is>
          <t>https://www.sec.gov/Archives/edgar/data/900075/000119312526387902/cprt-ex99_1.htm</t>
        </is>
      </c>
    </row>
    <row r="123">
      <c r="B123" s="916" t="inlineStr">
        <is>
          <t>Hist!G85 Income taxes payable (current) + current lease liabilities</t>
        </is>
      </c>
      <c r="C123" s="916" t="inlineStr">
        <is>
          <t>4.374+21.468</t>
        </is>
      </c>
      <c r="D123" s="916" t="inlineStr">
        <is>
          <t>FY2023</t>
        </is>
      </c>
      <c r="E123" s="916" t="inlineStr">
        <is>
          <t>8-K Ex.99.1 (Q4 FY23 release, 9/14/2023) / FY23 10-K</t>
        </is>
      </c>
      <c r="F123" s="916" t="inlineStr">
        <is>
          <t>Income taxes payable + Current portion of operating and finance lease liabilities</t>
        </is>
      </c>
      <c r="G123" s="916" t="inlineStr">
        <is>
          <t>https://www.sec.gov/Archives/edgar/data/900075/000090007523000027/cprt07312023ex99-1.htm</t>
        </is>
      </c>
    </row>
    <row r="124">
      <c r="B124" s="916" t="inlineStr">
        <is>
          <t>Hist!H85 Income taxes payable (current) + current lease liabilities</t>
        </is>
      </c>
      <c r="C124" s="916" t="inlineStr">
        <is>
          <t>60.994+21.304</t>
        </is>
      </c>
      <c r="D124" s="916" t="inlineStr">
        <is>
          <t>FY2024</t>
        </is>
      </c>
      <c r="E124" s="916" t="inlineStr">
        <is>
          <t>8-K Ex.99.1 (Q4 FY24 release, 9/4/2024) / FY24 10-K</t>
        </is>
      </c>
      <c r="F124" s="916" t="inlineStr">
        <is>
          <t>Income taxes payable + Current portion of operating and finance lease liabilities</t>
        </is>
      </c>
      <c r="G124" s="916" t="inlineStr">
        <is>
          <t>https://www.sec.gov/Archives/edgar/data/900075/000090007524000019/cprt07312024ex99-1.htm</t>
        </is>
      </c>
    </row>
    <row r="125">
      <c r="B125" s="916" t="inlineStr">
        <is>
          <t>Hist!I85 Income taxes payable (current) + current lease liabilities</t>
        </is>
      </c>
      <c r="C125" s="916" t="inlineStr">
        <is>
          <t>41.141+19.869</t>
        </is>
      </c>
      <c r="D125" s="916" t="inlineStr">
        <is>
          <t>FY2025</t>
        </is>
      </c>
      <c r="E125" s="916" t="inlineStr">
        <is>
          <t>8-K Ex.99.1 (Q4 FY26 release, 9/10/2026, prior-year column) / FY26 10-K</t>
        </is>
      </c>
      <c r="F125" s="916" t="inlineStr">
        <is>
          <t>Income taxes payable + Current portion of operating and finance lease liabilities</t>
        </is>
      </c>
      <c r="G125" s="916" t="inlineStr">
        <is>
          <t>https://www.sec.gov/Archives/edgar/data/900075/000119312526387902/cprt-ex99_1.htm</t>
        </is>
      </c>
    </row>
    <row r="126">
      <c r="B126" s="916" t="inlineStr">
        <is>
          <t>Hist!J85 Income taxes payable (current) + current lease liabilities</t>
        </is>
      </c>
      <c r="C126" s="916" t="inlineStr">
        <is>
          <t>21.437+15.163</t>
        </is>
      </c>
      <c r="D126" s="916" t="inlineStr">
        <is>
          <t>FY2026</t>
        </is>
      </c>
      <c r="E126" s="916" t="inlineStr">
        <is>
          <t>8-K Ex.99.1 (Q4 FY26 release, 9/10/2026) / FY26 10-K filed 9/28/2026</t>
        </is>
      </c>
      <c r="F126" s="916" t="inlineStr">
        <is>
          <t>Income taxes payable + Current portion of operating and finance lease liabilities</t>
        </is>
      </c>
      <c r="G126" s="916" t="inlineStr">
        <is>
          <t>https://www.sec.gov/Archives/edgar/data/900075/000119312526387902/cprt-ex99_1.htm</t>
        </is>
      </c>
    </row>
    <row r="127">
      <c r="B127" s="916" t="inlineStr">
        <is>
          <t>Hist!G88 Revolver</t>
        </is>
      </c>
      <c r="C127" s="916" t="n">
        <v>10.903</v>
      </c>
      <c r="D127" s="916" t="inlineStr">
        <is>
          <t>FY2023</t>
        </is>
      </c>
      <c r="E127" s="916" t="inlineStr">
        <is>
          <t>8-K Ex.99.1 (Q4 FY23 release, 9/14/2023) / FY23 10-K</t>
        </is>
      </c>
      <c r="F127" s="916" t="inlineStr">
        <is>
          <t>Long-term debt and other liabilities, net of discount (FY23 revolver draw); no debt outstanding FY24-FY26</t>
        </is>
      </c>
      <c r="G127" s="916" t="inlineStr">
        <is>
          <t>https://www.sec.gov/Archives/edgar/data/900075/000090007523000027/cprt07312023ex99-1.htm</t>
        </is>
      </c>
    </row>
    <row r="128">
      <c r="B128" s="916" t="inlineStr">
        <is>
          <t>Hist!H88 Revolver</t>
        </is>
      </c>
      <c r="C128" s="916" t="n">
        <v>0</v>
      </c>
      <c r="D128" s="916" t="inlineStr">
        <is>
          <t>FY2024</t>
        </is>
      </c>
      <c r="E128" s="916" t="inlineStr">
        <is>
          <t>8-K Ex.99.1 (Q4 FY24 release, 9/4/2024) / FY24 10-K</t>
        </is>
      </c>
      <c r="F128" s="916" t="inlineStr">
        <is>
          <t>Long-term debt and other liabilities, net of discount (FY23 revolver draw); no debt outstanding FY24-FY26</t>
        </is>
      </c>
      <c r="G128" s="916" t="inlineStr">
        <is>
          <t>https://www.sec.gov/Archives/edgar/data/900075/000090007524000019/cprt07312024ex99-1.htm</t>
        </is>
      </c>
    </row>
    <row r="129">
      <c r="B129" s="916" t="inlineStr">
        <is>
          <t>Hist!I88 Revolver</t>
        </is>
      </c>
      <c r="C129" s="916" t="n">
        <v>0</v>
      </c>
      <c r="D129" s="916" t="inlineStr">
        <is>
          <t>FY2025</t>
        </is>
      </c>
      <c r="E129" s="916" t="inlineStr">
        <is>
          <t>8-K Ex.99.1 (Q4 FY26 release, 9/10/2026, prior-year column) / FY26 10-K</t>
        </is>
      </c>
      <c r="F129" s="916" t="inlineStr">
        <is>
          <t>Long-term debt and other liabilities, net of discount (FY23 revolver draw); no debt outstanding FY24-FY26</t>
        </is>
      </c>
      <c r="G129" s="916" t="inlineStr">
        <is>
          <t>https://www.sec.gov/Archives/edgar/data/900075/000119312526387902/cprt-ex99_1.htm</t>
        </is>
      </c>
    </row>
    <row r="130">
      <c r="B130" s="916" t="inlineStr">
        <is>
          <t>Hist!J88 Revolver</t>
        </is>
      </c>
      <c r="C130" s="916" t="n">
        <v>0</v>
      </c>
      <c r="D130" s="916" t="inlineStr">
        <is>
          <t>FY2026</t>
        </is>
      </c>
      <c r="E130" s="916" t="inlineStr">
        <is>
          <t>8-K Ex.99.1 (Q4 FY26 release, 9/10/2026) / FY26 10-K filed 9/28/2026</t>
        </is>
      </c>
      <c r="F130" s="916" t="inlineStr">
        <is>
          <t>Long-term debt and other liabilities, net of discount (FY23 revolver draw); no debt outstanding FY24-FY26</t>
        </is>
      </c>
      <c r="G130" s="916" t="inlineStr">
        <is>
          <t>https://www.sec.gov/Archives/edgar/data/900075/000119312526387902/cprt-ex99_1.htm</t>
        </is>
      </c>
    </row>
    <row r="131">
      <c r="B131" s="916" t="inlineStr">
        <is>
          <t>Hist!G89 Term Loan</t>
        </is>
      </c>
      <c r="C131" s="916" t="n">
        <v>0</v>
      </c>
      <c r="D131" s="916" t="inlineStr">
        <is>
          <t>FY2023</t>
        </is>
      </c>
      <c r="E131" s="916" t="inlineStr">
        <is>
          <t>8-K Ex.99.1 (Q4 FY23 release, 9/14/2023) / FY23 10-K</t>
        </is>
      </c>
      <c r="F131" s="916" t="inlineStr">
        <is>
          <t>None</t>
        </is>
      </c>
      <c r="G131" s="916" t="inlineStr">
        <is>
          <t>https://www.sec.gov/Archives/edgar/data/900075/000090007523000027/cprt07312023ex99-1.htm</t>
        </is>
      </c>
    </row>
    <row r="132">
      <c r="B132" s="916" t="inlineStr">
        <is>
          <t>Hist!H89 Term Loan</t>
        </is>
      </c>
      <c r="C132" s="916" t="n">
        <v>0</v>
      </c>
      <c r="D132" s="916" t="inlineStr">
        <is>
          <t>FY2024</t>
        </is>
      </c>
      <c r="E132" s="916" t="inlineStr">
        <is>
          <t>8-K Ex.99.1 (Q4 FY24 release, 9/4/2024) / FY24 10-K</t>
        </is>
      </c>
      <c r="F132" s="916" t="inlineStr">
        <is>
          <t>None</t>
        </is>
      </c>
      <c r="G132" s="916" t="inlineStr">
        <is>
          <t>https://www.sec.gov/Archives/edgar/data/900075/000090007524000019/cprt07312024ex99-1.htm</t>
        </is>
      </c>
    </row>
    <row r="133">
      <c r="B133" s="916" t="inlineStr">
        <is>
          <t>Hist!I89 Term Loan</t>
        </is>
      </c>
      <c r="C133" s="916" t="n">
        <v>0</v>
      </c>
      <c r="D133" s="916" t="inlineStr">
        <is>
          <t>FY2025</t>
        </is>
      </c>
      <c r="E133" s="916" t="inlineStr">
        <is>
          <t>8-K Ex.99.1 (Q4 FY26 release, 9/10/2026, prior-year column) / FY26 10-K</t>
        </is>
      </c>
      <c r="F133" s="916" t="inlineStr">
        <is>
          <t>None</t>
        </is>
      </c>
      <c r="G133" s="916" t="inlineStr">
        <is>
          <t>https://www.sec.gov/Archives/edgar/data/900075/000119312526387902/cprt-ex99_1.htm</t>
        </is>
      </c>
    </row>
    <row r="134">
      <c r="B134" s="916" t="inlineStr">
        <is>
          <t>Hist!J89 Term Loan</t>
        </is>
      </c>
      <c r="C134" s="916" t="n">
        <v>0</v>
      </c>
      <c r="D134" s="916" t="inlineStr">
        <is>
          <t>FY2026</t>
        </is>
      </c>
      <c r="E134" s="916" t="inlineStr">
        <is>
          <t>8-K Ex.99.1 (Q4 FY26 release, 9/10/2026) / FY26 10-K filed 9/28/2026</t>
        </is>
      </c>
      <c r="F134" s="916" t="inlineStr">
        <is>
          <t>None</t>
        </is>
      </c>
      <c r="G134" s="916" t="inlineStr">
        <is>
          <t>https://www.sec.gov/Archives/edgar/data/900075/000119312526387902/cprt-ex99_1.htm</t>
        </is>
      </c>
    </row>
    <row r="135">
      <c r="B135" s="916" t="inlineStr">
        <is>
          <t>Hist!G90 Deferred taxes, LT taxes payable, non-current leases, redeemable NCI</t>
        </is>
      </c>
      <c r="C135" s="916" t="inlineStr">
        <is>
          <t>89.492+69.193+88.082</t>
        </is>
      </c>
      <c r="D135" s="916" t="inlineStr">
        <is>
          <t>FY2023</t>
        </is>
      </c>
      <c r="E135" s="916" t="inlineStr">
        <is>
          <t>8-K Ex.99.1 (Q4 FY23 release, 9/14/2023) / FY23 10-K</t>
        </is>
      </c>
      <c r="F135" s="916" t="inlineStr">
        <is>
          <t>Deferred income taxes + Income taxes payable (non-current) + Operating and finance lease liabilities, net of current + Redeemable NCI</t>
        </is>
      </c>
      <c r="G135" s="916" t="inlineStr">
        <is>
          <t>https://www.sec.gov/Archives/edgar/data/900075/000090007523000027/cprt07312023ex99-1.htm</t>
        </is>
      </c>
    </row>
    <row r="136">
      <c r="B136" s="916" t="inlineStr">
        <is>
          <t>Hist!H90 Deferred taxes, LT taxes payable, non-current leases, redeemable NCI</t>
        </is>
      </c>
      <c r="C136" s="916" t="inlineStr">
        <is>
          <t>93.653+59.56+97.429+24.544</t>
        </is>
      </c>
      <c r="D136" s="916" t="inlineStr">
        <is>
          <t>FY2024</t>
        </is>
      </c>
      <c r="E136" s="916" t="inlineStr">
        <is>
          <t>8-K Ex.99.1 (Q4 FY24 release, 9/4/2024) / FY24 10-K</t>
        </is>
      </c>
      <c r="F136" s="916" t="inlineStr">
        <is>
          <t>Deferred income taxes + Income taxes payable (non-current) + Operating and finance lease liabilities, net of current + Redeemable NCI</t>
        </is>
      </c>
      <c r="G136" s="916" t="inlineStr">
        <is>
          <t>https://www.sec.gov/Archives/edgar/data/900075/000090007524000019/cprt07312024ex99-1.htm</t>
        </is>
      </c>
    </row>
    <row r="137">
      <c r="B137" s="916" t="inlineStr">
        <is>
          <t>Hist!I90 Deferred taxes, LT taxes payable, non-current leases, redeemable NCI</t>
        </is>
      </c>
      <c r="C137" s="916" t="inlineStr">
        <is>
          <t>80.625+35.635+83.87+20.458</t>
        </is>
      </c>
      <c r="D137" s="916" t="inlineStr">
        <is>
          <t>FY2025</t>
        </is>
      </c>
      <c r="E137" s="916" t="inlineStr">
        <is>
          <t>8-K Ex.99.1 (Q4 FY26 release, 9/10/2026, prior-year column) / FY26 10-K</t>
        </is>
      </c>
      <c r="F137" s="916" t="inlineStr">
        <is>
          <t>Deferred income taxes + Income taxes payable (non-current) + Operating and finance lease liabilities, net of current + Redeemable NCI</t>
        </is>
      </c>
      <c r="G137" s="916" t="inlineStr">
        <is>
          <t>https://www.sec.gov/Archives/edgar/data/900075/000119312526387902/cprt-ex99_1.htm</t>
        </is>
      </c>
    </row>
    <row r="138">
      <c r="B138" s="916" t="inlineStr">
        <is>
          <t>Hist!J90 Deferred taxes, LT taxes payable, non-current leases, redeemable NCI</t>
        </is>
      </c>
      <c r="C138" s="916" t="inlineStr">
        <is>
          <t>127.918+9.067+73.204+16.585</t>
        </is>
      </c>
      <c r="D138" s="916" t="inlineStr">
        <is>
          <t>FY2026</t>
        </is>
      </c>
      <c r="E138" s="916" t="inlineStr">
        <is>
          <t>8-K Ex.99.1 (Q4 FY26 release, 9/10/2026) / FY26 10-K filed 9/28/2026</t>
        </is>
      </c>
      <c r="F138" s="916" t="inlineStr">
        <is>
          <t>Deferred income taxes + Income taxes payable (non-current) + Operating and finance lease liabilities, net of current + Redeemable NCI</t>
        </is>
      </c>
      <c r="G138" s="916" t="inlineStr">
        <is>
          <t>https://www.sec.gov/Archives/edgar/data/900075/000119312526387902/cprt-ex99_1.htm</t>
        </is>
      </c>
    </row>
    <row r="139">
      <c r="B139" s="916" t="inlineStr">
        <is>
          <t>Hist!G95 Retained Earnings</t>
        </is>
      </c>
      <c r="C139" s="916" t="n">
        <v>5189.44</v>
      </c>
      <c r="D139" s="916" t="inlineStr">
        <is>
          <t>FY2023</t>
        </is>
      </c>
      <c r="E139" s="916" t="inlineStr">
        <is>
          <t>8-K Ex.99.1 (Q4 FY23 release, 9/14/2023) / FY23 10-K</t>
        </is>
      </c>
      <c r="F139" s="916" t="inlineStr">
        <is>
          <t>Retained earnings</t>
        </is>
      </c>
      <c r="G139" s="916" t="inlineStr">
        <is>
          <t>https://www.sec.gov/Archives/edgar/data/900075/000090007523000027/cprt07312023ex99-1.htm</t>
        </is>
      </c>
    </row>
    <row r="140">
      <c r="B140" s="916" t="inlineStr">
        <is>
          <t>Hist!H95 Retained Earnings</t>
        </is>
      </c>
      <c r="C140" s="916" t="n">
        <v>6545.902</v>
      </c>
      <c r="D140" s="916" t="inlineStr">
        <is>
          <t>FY2024</t>
        </is>
      </c>
      <c r="E140" s="916" t="inlineStr">
        <is>
          <t>8-K Ex.99.1 (Q4 FY24 release, 9/4/2024) / FY24 10-K</t>
        </is>
      </c>
      <c r="F140" s="916" t="inlineStr">
        <is>
          <t>Retained earnings</t>
        </is>
      </c>
      <c r="G140" s="916" t="inlineStr">
        <is>
          <t>https://www.sec.gov/Archives/edgar/data/900075/000090007524000019/cprt07312024ex99-1.htm</t>
        </is>
      </c>
    </row>
    <row r="141">
      <c r="B141" s="916" t="inlineStr">
        <is>
          <t>Hist!I95 Retained Earnings</t>
        </is>
      </c>
      <c r="C141" s="916" t="n">
        <v>8093.069</v>
      </c>
      <c r="D141" s="916" t="inlineStr">
        <is>
          <t>FY2025</t>
        </is>
      </c>
      <c r="E141" s="916" t="inlineStr">
        <is>
          <t>8-K Ex.99.1 (Q4 FY26 release, 9/10/2026, prior-year column) / FY26 10-K</t>
        </is>
      </c>
      <c r="F141" s="916" t="inlineStr">
        <is>
          <t>Retained earnings</t>
        </is>
      </c>
      <c r="G141" s="916" t="inlineStr">
        <is>
          <t>https://www.sec.gov/Archives/edgar/data/900075/000119312526387902/cprt-ex99_1.htm</t>
        </is>
      </c>
    </row>
    <row r="142">
      <c r="B142" s="916" t="inlineStr">
        <is>
          <t>Hist!J95 Retained Earnings</t>
        </is>
      </c>
      <c r="C142" s="916" t="n">
        <v>7980.626</v>
      </c>
      <c r="D142" s="916" t="inlineStr">
        <is>
          <t>FY2026</t>
        </is>
      </c>
      <c r="E142" s="916" t="inlineStr">
        <is>
          <t>8-K Ex.99.1 (Q4 FY26 release, 9/10/2026) / FY26 10-K filed 9/28/2026</t>
        </is>
      </c>
      <c r="F142" s="916" t="inlineStr">
        <is>
          <t>Retained earnings</t>
        </is>
      </c>
      <c r="G142" s="916" t="inlineStr">
        <is>
          <t>https://www.sec.gov/Archives/edgar/data/900075/000119312526387902/cprt-ex99_1.htm</t>
        </is>
      </c>
    </row>
    <row r="143">
      <c r="B143" s="916" t="inlineStr">
        <is>
          <t>Hist!G96 Common stock + APIC</t>
        </is>
      </c>
      <c r="C143" s="916" t="inlineStr">
        <is>
          <t>0.096+938.91</t>
        </is>
      </c>
      <c r="D143" s="916" t="inlineStr">
        <is>
          <t>FY2023</t>
        </is>
      </c>
      <c r="E143" s="916" t="inlineStr">
        <is>
          <t>8-K Ex.99.1 (Q4 FY23 release, 9/14/2023) / FY23 10-K</t>
        </is>
      </c>
      <c r="F143" s="916" t="inlineStr">
        <is>
          <t>Common stock + Additional paid-in capital</t>
        </is>
      </c>
      <c r="G143" s="916" t="inlineStr">
        <is>
          <t>https://www.sec.gov/Archives/edgar/data/900075/000090007523000027/cprt07312023ex99-1.htm</t>
        </is>
      </c>
    </row>
    <row r="144">
      <c r="B144" s="916" t="inlineStr">
        <is>
          <t>Hist!H96 Common stock + APIC</t>
        </is>
      </c>
      <c r="C144" s="916" t="inlineStr">
        <is>
          <t>0.096+1120.985</t>
        </is>
      </c>
      <c r="D144" s="916" t="inlineStr">
        <is>
          <t>FY2024</t>
        </is>
      </c>
      <c r="E144" s="916" t="inlineStr">
        <is>
          <t>8-K Ex.99.1 (Q4 FY24 release, 9/4/2024) / FY24 10-K</t>
        </is>
      </c>
      <c r="F144" s="916" t="inlineStr">
        <is>
          <t>Common stock + Additional paid-in capital</t>
        </is>
      </c>
      <c r="G144" s="916" t="inlineStr">
        <is>
          <t>https://www.sec.gov/Archives/edgar/data/900075/000090007524000019/cprt07312024ex99-1.htm</t>
        </is>
      </c>
    </row>
    <row r="145">
      <c r="B145" s="916" t="inlineStr">
        <is>
          <t>Hist!I96 Common stock + APIC</t>
        </is>
      </c>
      <c r="C145" s="916" t="inlineStr">
        <is>
          <t>0.097+1214.15</t>
        </is>
      </c>
      <c r="D145" s="916" t="inlineStr">
        <is>
          <t>FY2025</t>
        </is>
      </c>
      <c r="E145" s="916" t="inlineStr">
        <is>
          <t>8-K Ex.99.1 (Q4 FY26 release, 9/10/2026, prior-year column) / FY26 10-K</t>
        </is>
      </c>
      <c r="F145" s="916" t="inlineStr">
        <is>
          <t>Common stock + Additional paid-in capital</t>
        </is>
      </c>
      <c r="G145" s="916" t="inlineStr">
        <is>
          <t>https://www.sec.gov/Archives/edgar/data/900075/000119312526387902/cprt-ex99_1.htm</t>
        </is>
      </c>
    </row>
    <row r="146">
      <c r="B146" s="916" t="inlineStr">
        <is>
          <t>Hist!J96 Common stock + APIC</t>
        </is>
      </c>
      <c r="C146" s="916" t="inlineStr">
        <is>
          <t>0.093+1226.354</t>
        </is>
      </c>
      <c r="D146" s="916" t="inlineStr">
        <is>
          <t>FY2026</t>
        </is>
      </c>
      <c r="E146" s="916" t="inlineStr">
        <is>
          <t>8-K Ex.99.1 (Q4 FY26 release, 9/10/2026) / FY26 10-K filed 9/28/2026</t>
        </is>
      </c>
      <c r="F146" s="916" t="inlineStr">
        <is>
          <t>Common stock + Additional paid-in capital</t>
        </is>
      </c>
      <c r="G146" s="916" t="inlineStr">
        <is>
          <t>https://www.sec.gov/Archives/edgar/data/900075/000119312526387902/cprt-ex99_1.htm</t>
        </is>
      </c>
    </row>
    <row r="147">
      <c r="B147" s="916" t="inlineStr">
        <is>
          <t>Hist!G97 Accumulated other comprehensive loss</t>
        </is>
      </c>
      <c r="C147" s="916" t="n">
        <v>-141.006</v>
      </c>
      <c r="D147" s="916" t="inlineStr">
        <is>
          <t>FY2023</t>
        </is>
      </c>
      <c r="E147" s="916" t="inlineStr">
        <is>
          <t>8-K Ex.99.1 (Q4 FY23 release, 9/14/2023) / FY23 10-K</t>
        </is>
      </c>
      <c r="F147" s="916" t="inlineStr">
        <is>
          <t>Accumulated other comprehensive loss</t>
        </is>
      </c>
      <c r="G147" s="916" t="inlineStr">
        <is>
          <t>https://www.sec.gov/Archives/edgar/data/900075/000090007523000027/cprt07312023ex99-1.htm</t>
        </is>
      </c>
    </row>
    <row r="148">
      <c r="B148" s="916" t="inlineStr">
        <is>
          <t>Hist!H97 Accumulated other comprehensive loss</t>
        </is>
      </c>
      <c r="C148" s="916" t="n">
        <v>-142.972</v>
      </c>
      <c r="D148" s="916" t="inlineStr">
        <is>
          <t>FY2024</t>
        </is>
      </c>
      <c r="E148" s="916" t="inlineStr">
        <is>
          <t>8-K Ex.99.1 (Q4 FY24 release, 9/4/2024) / FY24 10-K</t>
        </is>
      </c>
      <c r="F148" s="916" t="inlineStr">
        <is>
          <t>Accumulated other comprehensive loss</t>
        </is>
      </c>
      <c r="G148" s="916" t="inlineStr">
        <is>
          <t>https://www.sec.gov/Archives/edgar/data/900075/000090007524000019/cprt07312024ex99-1.htm</t>
        </is>
      </c>
    </row>
    <row r="149">
      <c r="B149" s="916" t="inlineStr">
        <is>
          <t>Hist!I97 Accumulated other comprehensive loss</t>
        </is>
      </c>
      <c r="C149" s="916" t="n">
        <v>-120.283</v>
      </c>
      <c r="D149" s="916" t="inlineStr">
        <is>
          <t>FY2025</t>
        </is>
      </c>
      <c r="E149" s="916" t="inlineStr">
        <is>
          <t>8-K Ex.99.1 (Q4 FY26 release, 9/10/2026, prior-year column) / FY26 10-K</t>
        </is>
      </c>
      <c r="F149" s="916" t="inlineStr">
        <is>
          <t>Accumulated other comprehensive loss</t>
        </is>
      </c>
      <c r="G149" s="916" t="inlineStr">
        <is>
          <t>https://www.sec.gov/Archives/edgar/data/900075/000119312526387902/cprt-ex99_1.htm</t>
        </is>
      </c>
    </row>
    <row r="150">
      <c r="B150" s="916" t="inlineStr">
        <is>
          <t>Hist!J97 Accumulated other comprehensive loss</t>
        </is>
      </c>
      <c r="C150" s="916" t="n">
        <v>-109.778</v>
      </c>
      <c r="D150" s="916" t="inlineStr">
        <is>
          <t>FY2026</t>
        </is>
      </c>
      <c r="E150" s="916" t="inlineStr">
        <is>
          <t>8-K Ex.99.1 (Q4 FY26 release, 9/10/2026) / FY26 10-K filed 9/28/2026</t>
        </is>
      </c>
      <c r="F150" s="916" t="inlineStr">
        <is>
          <t>Accumulated other comprehensive loss</t>
        </is>
      </c>
      <c r="G150" s="916" t="inlineStr">
        <is>
          <t>https://www.sec.gov/Archives/edgar/data/900075/000119312526387902/cprt-ex99_1.htm</t>
        </is>
      </c>
    </row>
    <row r="151">
      <c r="B151" s="916" t="inlineStr">
        <is>
          <t>Hist!G106 Stock-Based Compensation</t>
        </is>
      </c>
      <c r="C151" s="916" t="n">
        <v>39.673</v>
      </c>
      <c r="D151" s="916" t="inlineStr">
        <is>
          <t>FY2023</t>
        </is>
      </c>
      <c r="E151" s="916" t="inlineStr">
        <is>
          <t>8-K Ex.99.1 (Q4 FY23 release, 9/14/2023) / FY23 10-K</t>
        </is>
      </c>
      <c r="F151" s="916" t="inlineStr">
        <is>
          <t>CFS: Stock-based compensation</t>
        </is>
      </c>
      <c r="G151" s="916" t="inlineStr">
        <is>
          <t>https://www.sec.gov/Archives/edgar/data/900075/000090007523000027/cprt07312023ex99-1.htm</t>
        </is>
      </c>
    </row>
    <row r="152">
      <c r="B152" s="916" t="inlineStr">
        <is>
          <t>Hist!H106 Stock-Based Compensation</t>
        </is>
      </c>
      <c r="C152" s="916" t="n">
        <v>35.234</v>
      </c>
      <c r="D152" s="916" t="inlineStr">
        <is>
          <t>FY2024</t>
        </is>
      </c>
      <c r="E152" s="916" t="inlineStr">
        <is>
          <t>8-K Ex.99.1 (Q4 FY24 release, 9/4/2024) / FY24 10-K</t>
        </is>
      </c>
      <c r="F152" s="916" t="inlineStr">
        <is>
          <t>CFS: Stock-based compensation</t>
        </is>
      </c>
      <c r="G152" s="916" t="inlineStr">
        <is>
          <t>https://www.sec.gov/Archives/edgar/data/900075/000090007524000019/cprt07312024ex99-1.htm</t>
        </is>
      </c>
    </row>
    <row r="153">
      <c r="B153" s="916" t="inlineStr">
        <is>
          <t>Hist!I106 Stock-Based Compensation</t>
        </is>
      </c>
      <c r="C153" s="916" t="n">
        <v>38.004</v>
      </c>
      <c r="D153" s="916" t="inlineStr">
        <is>
          <t>FY2025</t>
        </is>
      </c>
      <c r="E153" s="916" t="inlineStr">
        <is>
          <t>8-K Ex.99.1 (Q4 FY26 release, 9/10/2026, prior-year column) / FY26 10-K</t>
        </is>
      </c>
      <c r="F153" s="916" t="inlineStr">
        <is>
          <t>CFS: Stock-based compensation</t>
        </is>
      </c>
      <c r="G153" s="916" t="inlineStr">
        <is>
          <t>https://www.sec.gov/Archives/edgar/data/900075/000119312526387902/cprt-ex99_1.htm</t>
        </is>
      </c>
    </row>
    <row r="154">
      <c r="B154" s="916" t="inlineStr">
        <is>
          <t>Hist!J106 Stock-Based Compensation</t>
        </is>
      </c>
      <c r="C154" s="916" t="n">
        <v>38.818</v>
      </c>
      <c r="D154" s="916" t="inlineStr">
        <is>
          <t>FY2026</t>
        </is>
      </c>
      <c r="E154" s="916" t="inlineStr">
        <is>
          <t>8-K Ex.99.1 (Q4 FY26 release, 9/10/2026) / FY26 10-K filed 9/28/2026</t>
        </is>
      </c>
      <c r="F154" s="916" t="inlineStr">
        <is>
          <t>CFS: Stock-based compensation</t>
        </is>
      </c>
      <c r="G154" s="916" t="inlineStr">
        <is>
          <t>https://www.sec.gov/Archives/edgar/data/900075/000119312526387902/cprt-ex99_1.htm</t>
        </is>
      </c>
    </row>
    <row r="155">
      <c r="B155" s="916" t="inlineStr">
        <is>
          <t>Hist!G109 (Purchases of property and equipment)</t>
        </is>
      </c>
      <c r="C155" s="916" t="n">
        <v>-516.636</v>
      </c>
      <c r="D155" s="916" t="inlineStr">
        <is>
          <t>FY2023</t>
        </is>
      </c>
      <c r="E155" s="916" t="inlineStr">
        <is>
          <t>8-K Ex.99.1 (Q4 FY23 release, 9/14/2023) / FY23 10-K</t>
        </is>
      </c>
      <c r="F155" s="916" t="inlineStr">
        <is>
          <t>CFS: Purchases of property and equipment (negative = outflow, template sign)</t>
        </is>
      </c>
      <c r="G155" s="916" t="inlineStr">
        <is>
          <t>https://www.sec.gov/Archives/edgar/data/900075/000090007523000027/cprt07312023ex99-1.htm</t>
        </is>
      </c>
    </row>
    <row r="156">
      <c r="B156" s="916" t="inlineStr">
        <is>
          <t>Hist!H109 (Purchases of property and equipment)</t>
        </is>
      </c>
      <c r="C156" s="916" t="n">
        <v>-510.99</v>
      </c>
      <c r="D156" s="916" t="inlineStr">
        <is>
          <t>FY2024</t>
        </is>
      </c>
      <c r="E156" s="916" t="inlineStr">
        <is>
          <t>8-K Ex.99.1 (Q4 FY24 release, 9/4/2024) / FY24 10-K</t>
        </is>
      </c>
      <c r="F156" s="916" t="inlineStr">
        <is>
          <t>CFS: Purchases of property and equipment (negative = outflow, template sign)</t>
        </is>
      </c>
      <c r="G156" s="916" t="inlineStr">
        <is>
          <t>https://www.sec.gov/Archives/edgar/data/900075/000090007524000019/cprt07312024ex99-1.htm</t>
        </is>
      </c>
    </row>
    <row r="157">
      <c r="B157" s="916" t="inlineStr">
        <is>
          <t>Hist!I109 (Purchases of property and equipment)</t>
        </is>
      </c>
      <c r="C157" s="916" t="n">
        <v>-568.99</v>
      </c>
      <c r="D157" s="916" t="inlineStr">
        <is>
          <t>FY2025</t>
        </is>
      </c>
      <c r="E157" s="916" t="inlineStr">
        <is>
          <t>8-K Ex.99.1 (Q4 FY26 release, 9/10/2026, prior-year column) / FY26 10-K</t>
        </is>
      </c>
      <c r="F157" s="916" t="inlineStr">
        <is>
          <t>CFS: Purchases of property and equipment (negative = outflow, template sign)</t>
        </is>
      </c>
      <c r="G157" s="916" t="inlineStr">
        <is>
          <t>https://www.sec.gov/Archives/edgar/data/900075/000119312526387902/cprt-ex99_1.htm</t>
        </is>
      </c>
    </row>
    <row r="158">
      <c r="B158" s="916" t="inlineStr">
        <is>
          <t>Hist!J109 (Purchases of property and equipment)</t>
        </is>
      </c>
      <c r="C158" s="916" t="n">
        <v>-337.363</v>
      </c>
      <c r="D158" s="916" t="inlineStr">
        <is>
          <t>FY2026</t>
        </is>
      </c>
      <c r="E158" s="916" t="inlineStr">
        <is>
          <t>8-K Ex.99.1 (Q4 FY26 release, 9/10/2026) / FY26 10-K filed 9/28/2026</t>
        </is>
      </c>
      <c r="F158" s="916" t="inlineStr">
        <is>
          <t>CFS: Purchases of property and equipment (negative = outflow, template sign)</t>
        </is>
      </c>
      <c r="G158" s="916" t="inlineStr">
        <is>
          <t>https://www.sec.gov/Archives/edgar/data/900075/000119312526387902/cprt-ex99_1.htm</t>
        </is>
      </c>
    </row>
    <row r="159">
      <c r="B159" s="916" t="inlineStr">
        <is>
          <t>Hist!G110 Proceeds from sale of property and equipment</t>
        </is>
      </c>
      <c r="C159" s="916" t="n">
        <v>33.919</v>
      </c>
      <c r="D159" s="916" t="inlineStr">
        <is>
          <t>FY2023</t>
        </is>
      </c>
      <c r="E159" s="916" t="inlineStr">
        <is>
          <t>8-K Ex.99.1 (Q4 FY23 release, 9/14/2023) / FY23 10-K</t>
        </is>
      </c>
      <c r="F159" s="916" t="inlineStr">
        <is>
          <t>CFS: Proceeds from sale of property and equipment</t>
        </is>
      </c>
      <c r="G159" s="916" t="inlineStr">
        <is>
          <t>https://www.sec.gov/Archives/edgar/data/900075/000090007523000027/cprt07312023ex99-1.htm</t>
        </is>
      </c>
    </row>
    <row r="160">
      <c r="B160" s="916" t="inlineStr">
        <is>
          <t>Hist!H110 Proceeds from sale of property and equipment</t>
        </is>
      </c>
      <c r="C160" s="916" t="n">
        <v>4.166</v>
      </c>
      <c r="D160" s="916" t="inlineStr">
        <is>
          <t>FY2024</t>
        </is>
      </c>
      <c r="E160" s="916" t="inlineStr">
        <is>
          <t>8-K Ex.99.1 (Q4 FY24 release, 9/4/2024) / FY24 10-K</t>
        </is>
      </c>
      <c r="F160" s="916" t="inlineStr">
        <is>
          <t>CFS: Proceeds from sale of property and equipment</t>
        </is>
      </c>
      <c r="G160" s="916" t="inlineStr">
        <is>
          <t>https://www.sec.gov/Archives/edgar/data/900075/000090007524000019/cprt07312024ex99-1.htm</t>
        </is>
      </c>
    </row>
    <row r="161">
      <c r="B161" s="916" t="inlineStr">
        <is>
          <t>Hist!I110 Proceeds from sale of property and equipment</t>
        </is>
      </c>
      <c r="C161" s="916" t="n">
        <v>31.831</v>
      </c>
      <c r="D161" s="916" t="inlineStr">
        <is>
          <t>FY2025</t>
        </is>
      </c>
      <c r="E161" s="916" t="inlineStr">
        <is>
          <t>8-K Ex.99.1 (Q4 FY26 release, 9/10/2026, prior-year column) / FY26 10-K</t>
        </is>
      </c>
      <c r="F161" s="916" t="inlineStr">
        <is>
          <t>CFS: Proceeds from sale of property and equipment</t>
        </is>
      </c>
      <c r="G161" s="916" t="inlineStr">
        <is>
          <t>https://www.sec.gov/Archives/edgar/data/900075/000119312526387902/cprt-ex99_1.htm</t>
        </is>
      </c>
    </row>
    <row r="162">
      <c r="B162" s="916" t="inlineStr">
        <is>
          <t>Hist!J110 Proceeds from sale of property and equipment</t>
        </is>
      </c>
      <c r="C162" s="916" t="n">
        <v>12.575</v>
      </c>
      <c r="D162" s="916" t="inlineStr">
        <is>
          <t>FY2026</t>
        </is>
      </c>
      <c r="E162" s="916" t="inlineStr">
        <is>
          <t>8-K Ex.99.1 (Q4 FY26 release, 9/10/2026) / FY26 10-K filed 9/28/2026</t>
        </is>
      </c>
      <c r="F162" s="916" t="inlineStr">
        <is>
          <t>CFS: Proceeds from sale of property and equipment</t>
        </is>
      </c>
      <c r="G162" s="916" t="inlineStr">
        <is>
          <t>https://www.sec.gov/Archives/edgar/data/900075/000119312526387902/cprt-ex99_1.htm</t>
        </is>
      </c>
    </row>
    <row r="163">
      <c r="B163" s="916" t="inlineStr">
        <is>
          <t>Hist!G111 (Capex) / Sale of Assets 3</t>
        </is>
      </c>
      <c r="C163" s="916" t="n">
        <v>0</v>
      </c>
      <c r="D163" s="916" t="inlineStr">
        <is>
          <t>FY2023</t>
        </is>
      </c>
      <c r="E163" s="916" t="inlineStr">
        <is>
          <t>8-K Ex.99.1 (Q4 FY23 release, 9/14/2023) / FY23 10-K</t>
        </is>
      </c>
      <c r="F163" s="916" t="inlineStr">
        <is>
          <t>n/a</t>
        </is>
      </c>
      <c r="G163" s="916" t="inlineStr">
        <is>
          <t>https://www.sec.gov/Archives/edgar/data/900075/000090007523000027/cprt07312023ex99-1.htm</t>
        </is>
      </c>
    </row>
    <row r="164">
      <c r="B164" s="916" t="inlineStr">
        <is>
          <t>Hist!H111 (Capex) / Sale of Assets 3</t>
        </is>
      </c>
      <c r="C164" s="916" t="n">
        <v>0</v>
      </c>
      <c r="D164" s="916" t="inlineStr">
        <is>
          <t>FY2024</t>
        </is>
      </c>
      <c r="E164" s="916" t="inlineStr">
        <is>
          <t>8-K Ex.99.1 (Q4 FY24 release, 9/4/2024) / FY24 10-K</t>
        </is>
      </c>
      <c r="F164" s="916" t="inlineStr">
        <is>
          <t>n/a</t>
        </is>
      </c>
      <c r="G164" s="916" t="inlineStr">
        <is>
          <t>https://www.sec.gov/Archives/edgar/data/900075/000090007524000019/cprt07312024ex99-1.htm</t>
        </is>
      </c>
    </row>
    <row r="165">
      <c r="B165" s="916" t="inlineStr">
        <is>
          <t>Hist!I111 (Capex) / Sale of Assets 3</t>
        </is>
      </c>
      <c r="C165" s="916" t="n">
        <v>0</v>
      </c>
      <c r="D165" s="916" t="inlineStr">
        <is>
          <t>FY2025</t>
        </is>
      </c>
      <c r="E165" s="916" t="inlineStr">
        <is>
          <t>8-K Ex.99.1 (Q4 FY26 release, 9/10/2026, prior-year column) / FY26 10-K</t>
        </is>
      </c>
      <c r="F165" s="916" t="inlineStr">
        <is>
          <t>n/a</t>
        </is>
      </c>
      <c r="G165" s="916" t="inlineStr">
        <is>
          <t>https://www.sec.gov/Archives/edgar/data/900075/000119312526387902/cprt-ex99_1.htm</t>
        </is>
      </c>
    </row>
    <row r="166">
      <c r="B166" s="916" t="inlineStr">
        <is>
          <t>Hist!J111 (Capex) / Sale of Assets 3</t>
        </is>
      </c>
      <c r="C166" s="916" t="n">
        <v>0</v>
      </c>
      <c r="D166" s="916" t="inlineStr">
        <is>
          <t>FY2026</t>
        </is>
      </c>
      <c r="E166" s="916" t="inlineStr">
        <is>
          <t>8-K Ex.99.1 (Q4 FY26 release, 9/10/2026) / FY26 10-K filed 9/28/2026</t>
        </is>
      </c>
      <c r="F166" s="916" t="inlineStr">
        <is>
          <t>n/a</t>
        </is>
      </c>
      <c r="G166" s="916" t="inlineStr">
        <is>
          <t>https://www.sec.gov/Archives/edgar/data/900075/000119312526387902/cprt-ex99_1.htm</t>
        </is>
      </c>
    </row>
    <row r="167">
      <c r="B167" s="916" t="inlineStr">
        <is>
          <t>Hist!G115 (Acquisitions), net of cash acquired</t>
        </is>
      </c>
      <c r="C167" s="916" t="n">
        <v>0</v>
      </c>
      <c r="D167" s="916" t="inlineStr">
        <is>
          <t>FY2023</t>
        </is>
      </c>
      <c r="E167" s="916" t="inlineStr">
        <is>
          <t>8-K Ex.99.1 (Q4 FY23 release, 9/14/2023) / FY23 10-K</t>
        </is>
      </c>
      <c r="F167" s="916" t="inlineStr">
        <is>
          <t>CFS: Assets and liabilities acquired / cash acquired in connection with acquisition</t>
        </is>
      </c>
      <c r="G167" s="916" t="inlineStr">
        <is>
          <t>https://www.sec.gov/Archives/edgar/data/900075/000090007523000027/cprt07312023ex99-1.htm</t>
        </is>
      </c>
    </row>
    <row r="168">
      <c r="B168" s="916" t="inlineStr">
        <is>
          <t>Hist!H115 (Acquisitions), net of cash acquired</t>
        </is>
      </c>
      <c r="C168" s="916" t="n">
        <v>17.662</v>
      </c>
      <c r="D168" s="916" t="inlineStr">
        <is>
          <t>FY2024</t>
        </is>
      </c>
      <c r="E168" s="916" t="inlineStr">
        <is>
          <t>8-K Ex.99.1 (Q4 FY24 release, 9/4/2024) / FY24 10-K</t>
        </is>
      </c>
      <c r="F168" s="916" t="inlineStr">
        <is>
          <t>CFS: Assets and liabilities acquired / cash acquired in connection with acquisition</t>
        </is>
      </c>
      <c r="G168" s="916" t="inlineStr">
        <is>
          <t>https://www.sec.gov/Archives/edgar/data/900075/000090007524000019/cprt07312024ex99-1.htm</t>
        </is>
      </c>
    </row>
    <row r="169">
      <c r="B169" s="916" t="inlineStr">
        <is>
          <t>Hist!I115 (Acquisitions), net of cash acquired</t>
        </is>
      </c>
      <c r="C169" s="916" t="n">
        <v>-1.223</v>
      </c>
      <c r="D169" s="916" t="inlineStr">
        <is>
          <t>FY2025</t>
        </is>
      </c>
      <c r="E169" s="916" t="inlineStr">
        <is>
          <t>8-K Ex.99.1 (Q4 FY26 release, 9/10/2026, prior-year column) / FY26 10-K</t>
        </is>
      </c>
      <c r="F169" s="916" t="inlineStr">
        <is>
          <t>CFS: Assets and liabilities acquired / cash acquired in connection with acquisition</t>
        </is>
      </c>
      <c r="G169" s="916" t="inlineStr">
        <is>
          <t>https://www.sec.gov/Archives/edgar/data/900075/000119312526387902/cprt-ex99_1.htm</t>
        </is>
      </c>
    </row>
    <row r="170">
      <c r="B170" s="916" t="inlineStr">
        <is>
          <t>Hist!J115 (Acquisitions), net of cash acquired</t>
        </is>
      </c>
      <c r="C170" s="916" t="n">
        <v>-5.004</v>
      </c>
      <c r="D170" s="916" t="inlineStr">
        <is>
          <t>FY2026</t>
        </is>
      </c>
      <c r="E170" s="916" t="inlineStr">
        <is>
          <t>8-K Ex.99.1 (Q4 FY26 release, 9/10/2026) / FY26 10-K filed 9/28/2026</t>
        </is>
      </c>
      <c r="F170" s="916" t="inlineStr">
        <is>
          <t>CFS: Assets and liabilities acquired / cash acquired in connection with acquisition</t>
        </is>
      </c>
      <c r="G170" s="916" t="inlineStr">
        <is>
          <t>https://www.sec.gov/Archives/edgar/data/900075/000119312526387902/cprt-ex99_1.htm</t>
        </is>
      </c>
    </row>
    <row r="171">
      <c r="B171" s="916" t="inlineStr">
        <is>
          <t>Hist!G116 (Investment in unconsolidated affiliates)</t>
        </is>
      </c>
      <c r="C171" s="916" t="n">
        <v>-2.744</v>
      </c>
      <c r="D171" s="916" t="inlineStr">
        <is>
          <t>FY2023</t>
        </is>
      </c>
      <c r="E171" s="916" t="inlineStr">
        <is>
          <t>8-K Ex.99.1 (Q4 FY23 release, 9/14/2023) / FY23 10-K</t>
        </is>
      </c>
      <c r="F171" s="916" t="inlineStr">
        <is>
          <t>CFS: Investment in unconsolidated affiliate</t>
        </is>
      </c>
      <c r="G171" s="916" t="inlineStr">
        <is>
          <t>https://www.sec.gov/Archives/edgar/data/900075/000090007523000027/cprt07312023ex99-1.htm</t>
        </is>
      </c>
    </row>
    <row r="172">
      <c r="B172" s="916" t="inlineStr">
        <is>
          <t>Hist!H116 (Investment in unconsolidated affiliates)</t>
        </is>
      </c>
      <c r="C172" s="916" t="n">
        <v>-8.755000000000001</v>
      </c>
      <c r="D172" s="916" t="inlineStr">
        <is>
          <t>FY2024</t>
        </is>
      </c>
      <c r="E172" s="916" t="inlineStr">
        <is>
          <t>8-K Ex.99.1 (Q4 FY24 release, 9/4/2024) / FY24 10-K</t>
        </is>
      </c>
      <c r="F172" s="916" t="inlineStr">
        <is>
          <t>CFS: Investment in unconsolidated affiliate</t>
        </is>
      </c>
      <c r="G172" s="916" t="inlineStr">
        <is>
          <t>https://www.sec.gov/Archives/edgar/data/900075/000090007524000019/cprt07312024ex99-1.htm</t>
        </is>
      </c>
    </row>
    <row r="173">
      <c r="B173" s="916" t="inlineStr">
        <is>
          <t>Hist!I116 (Investment in unconsolidated affiliates)</t>
        </is>
      </c>
      <c r="C173" s="916" t="n">
        <v>-7.148</v>
      </c>
      <c r="D173" s="916" t="inlineStr">
        <is>
          <t>FY2025</t>
        </is>
      </c>
      <c r="E173" s="916" t="inlineStr">
        <is>
          <t>8-K Ex.99.1 (Q4 FY26 release, 9/10/2026, prior-year column) / FY26 10-K</t>
        </is>
      </c>
      <c r="F173" s="916" t="inlineStr">
        <is>
          <t>CFS: Investment in unconsolidated affiliate</t>
        </is>
      </c>
      <c r="G173" s="916" t="inlineStr">
        <is>
          <t>https://www.sec.gov/Archives/edgar/data/900075/000119312526387902/cprt-ex99_1.htm</t>
        </is>
      </c>
    </row>
    <row r="174">
      <c r="B174" s="916" t="inlineStr">
        <is>
          <t>Hist!J116 (Investment in unconsolidated affiliates)</t>
        </is>
      </c>
      <c r="C174" s="916" t="n">
        <v>-3.737</v>
      </c>
      <c r="D174" s="916" t="inlineStr">
        <is>
          <t>FY2026</t>
        </is>
      </c>
      <c r="E174" s="916" t="inlineStr">
        <is>
          <t>8-K Ex.99.1 (Q4 FY26 release, 9/10/2026) / FY26 10-K filed 9/28/2026</t>
        </is>
      </c>
      <c r="F174" s="916" t="inlineStr">
        <is>
          <t>CFS: Investment in unconsolidated affiliate</t>
        </is>
      </c>
      <c r="G174" s="916" t="inlineStr">
        <is>
          <t>https://www.sec.gov/Archives/edgar/data/900075/000119312526387902/cprt-ex99_1.htm</t>
        </is>
      </c>
    </row>
    <row r="175">
      <c r="B175" s="916" t="inlineStr">
        <is>
          <t>Hist!G117 (Acquisitions) / Divestitures 3</t>
        </is>
      </c>
      <c r="C175" s="916" t="n">
        <v>0</v>
      </c>
      <c r="D175" s="916" t="inlineStr">
        <is>
          <t>FY2023</t>
        </is>
      </c>
      <c r="E175" s="916" t="inlineStr">
        <is>
          <t>8-K Ex.99.1 (Q4 FY23 release, 9/14/2023) / FY23 10-K</t>
        </is>
      </c>
      <c r="F175" s="916" t="inlineStr">
        <is>
          <t>n/a</t>
        </is>
      </c>
      <c r="G175" s="916" t="inlineStr">
        <is>
          <t>https://www.sec.gov/Archives/edgar/data/900075/000090007523000027/cprt07312023ex99-1.htm</t>
        </is>
      </c>
    </row>
    <row r="176">
      <c r="B176" s="916" t="inlineStr">
        <is>
          <t>Hist!H117 (Acquisitions) / Divestitures 3</t>
        </is>
      </c>
      <c r="C176" s="916" t="n">
        <v>0</v>
      </c>
      <c r="D176" s="916" t="inlineStr">
        <is>
          <t>FY2024</t>
        </is>
      </c>
      <c r="E176" s="916" t="inlineStr">
        <is>
          <t>8-K Ex.99.1 (Q4 FY24 release, 9/4/2024) / FY24 10-K</t>
        </is>
      </c>
      <c r="F176" s="916" t="inlineStr">
        <is>
          <t>n/a</t>
        </is>
      </c>
      <c r="G176" s="916" t="inlineStr">
        <is>
          <t>https://www.sec.gov/Archives/edgar/data/900075/000090007524000019/cprt07312024ex99-1.htm</t>
        </is>
      </c>
    </row>
    <row r="177">
      <c r="B177" s="916" t="inlineStr">
        <is>
          <t>Hist!I117 (Acquisitions) / Divestitures 3</t>
        </is>
      </c>
      <c r="C177" s="916" t="n">
        <v>0</v>
      </c>
      <c r="D177" s="916" t="inlineStr">
        <is>
          <t>FY2025</t>
        </is>
      </c>
      <c r="E177" s="916" t="inlineStr">
        <is>
          <t>8-K Ex.99.1 (Q4 FY26 release, 9/10/2026, prior-year column) / FY26 10-K</t>
        </is>
      </c>
      <c r="F177" s="916" t="inlineStr">
        <is>
          <t>n/a</t>
        </is>
      </c>
      <c r="G177" s="916" t="inlineStr">
        <is>
          <t>https://www.sec.gov/Archives/edgar/data/900075/000119312526387902/cprt-ex99_1.htm</t>
        </is>
      </c>
    </row>
    <row r="178">
      <c r="B178" s="916" t="inlineStr">
        <is>
          <t>Hist!J117 (Acquisitions) / Divestitures 3</t>
        </is>
      </c>
      <c r="C178" s="916" t="n">
        <v>0</v>
      </c>
      <c r="D178" s="916" t="inlineStr">
        <is>
          <t>FY2026</t>
        </is>
      </c>
      <c r="E178" s="916" t="inlineStr">
        <is>
          <t>8-K Ex.99.1 (Q4 FY26 release, 9/10/2026) / FY26 10-K filed 9/28/2026</t>
        </is>
      </c>
      <c r="F178" s="916" t="inlineStr">
        <is>
          <t>n/a</t>
        </is>
      </c>
      <c r="G178" s="916" t="inlineStr">
        <is>
          <t>https://www.sec.gov/Archives/edgar/data/900075/000119312526387902/cprt-ex99_1.htm</t>
        </is>
      </c>
    </row>
    <row r="179">
      <c r="B179" s="916" t="inlineStr">
        <is>
          <t>Hist!G120 Equity Raised / (Share Buybacks)</t>
        </is>
      </c>
      <c r="C179" s="916" t="n">
        <v>0</v>
      </c>
      <c r="D179" s="916" t="inlineStr">
        <is>
          <t>FY2023</t>
        </is>
      </c>
      <c r="E179" s="916" t="inlineStr">
        <is>
          <t>8-K Ex.99.1 (Q4 FY23 release, 9/14/2023) / FY23 10-K</t>
        </is>
      </c>
      <c r="F179" s="916" t="inlineStr">
        <is>
          <t>CFS: Repurchases of common stock</t>
        </is>
      </c>
      <c r="G179" s="916" t="inlineStr">
        <is>
          <t>https://www.sec.gov/Archives/edgar/data/900075/000090007523000027/cprt07312023ex99-1.htm</t>
        </is>
      </c>
    </row>
    <row r="180">
      <c r="B180" s="916" t="inlineStr">
        <is>
          <t>Hist!H120 Equity Raised / (Share Buybacks)</t>
        </is>
      </c>
      <c r="C180" s="916" t="n">
        <v>0</v>
      </c>
      <c r="D180" s="916" t="inlineStr">
        <is>
          <t>FY2024</t>
        </is>
      </c>
      <c r="E180" s="916" t="inlineStr">
        <is>
          <t>8-K Ex.99.1 (Q4 FY24 release, 9/4/2024) / FY24 10-K</t>
        </is>
      </c>
      <c r="F180" s="916" t="inlineStr">
        <is>
          <t>CFS: Repurchases of common stock</t>
        </is>
      </c>
      <c r="G180" s="916" t="inlineStr">
        <is>
          <t>https://www.sec.gov/Archives/edgar/data/900075/000090007524000019/cprt07312024ex99-1.htm</t>
        </is>
      </c>
    </row>
    <row r="181">
      <c r="B181" s="916" t="inlineStr">
        <is>
          <t>Hist!I120 Equity Raised / (Share Buybacks)</t>
        </is>
      </c>
      <c r="C181" s="916" t="n">
        <v>0</v>
      </c>
      <c r="D181" s="916" t="inlineStr">
        <is>
          <t>FY2025</t>
        </is>
      </c>
      <c r="E181" s="916" t="inlineStr">
        <is>
          <t>8-K Ex.99.1 (Q4 FY26 release, 9/10/2026, prior-year column) / FY26 10-K</t>
        </is>
      </c>
      <c r="F181" s="916" t="inlineStr">
        <is>
          <t>CFS: Repurchases of common stock</t>
        </is>
      </c>
      <c r="G181" s="916" t="inlineStr">
        <is>
          <t>https://www.sec.gov/Archives/edgar/data/900075/000119312526387902/cprt-ex99_1.htm</t>
        </is>
      </c>
    </row>
    <row r="182">
      <c r="B182" s="916" t="inlineStr">
        <is>
          <t>Hist!J120 Equity Raised / (Share Buybacks)</t>
        </is>
      </c>
      <c r="C182" s="916" t="n">
        <v>-1632.538</v>
      </c>
      <c r="D182" s="916" t="inlineStr">
        <is>
          <t>FY2026</t>
        </is>
      </c>
      <c r="E182" s="916" t="inlineStr">
        <is>
          <t>8-K Ex.99.1 (Q4 FY26 release, 9/10/2026) / FY26 10-K filed 9/28/2026</t>
        </is>
      </c>
      <c r="F182" s="916" t="inlineStr">
        <is>
          <t>CFS: Repurchases of common stock</t>
        </is>
      </c>
      <c r="G182" s="916" t="inlineStr">
        <is>
          <t>https://www.sec.gov/Archives/edgar/data/900075/000119312526387902/cprt-ex99_1.htm</t>
        </is>
      </c>
    </row>
    <row r="183">
      <c r="B183" s="916" t="inlineStr">
        <is>
          <t>Hist!G121 Share Buybacks</t>
        </is>
      </c>
      <c r="C183" s="916" t="n">
        <v>0</v>
      </c>
      <c r="D183" s="916" t="inlineStr">
        <is>
          <t>FY2023</t>
        </is>
      </c>
      <c r="E183" s="916" t="inlineStr">
        <is>
          <t>8-K Ex.99.1 (Q4 FY23 release, 9/14/2023) / FY23 10-K</t>
        </is>
      </c>
      <c r="F183" s="916" t="inlineStr">
        <is>
          <t>Not used (buybacks in row 120)</t>
        </is>
      </c>
      <c r="G183" s="916" t="inlineStr">
        <is>
          <t>https://www.sec.gov/Archives/edgar/data/900075/000090007523000027/cprt07312023ex99-1.htm</t>
        </is>
      </c>
    </row>
    <row r="184">
      <c r="B184" s="916" t="inlineStr">
        <is>
          <t>Hist!H121 Share Buybacks</t>
        </is>
      </c>
      <c r="C184" s="916" t="n">
        <v>0</v>
      </c>
      <c r="D184" s="916" t="inlineStr">
        <is>
          <t>FY2024</t>
        </is>
      </c>
      <c r="E184" s="916" t="inlineStr">
        <is>
          <t>8-K Ex.99.1 (Q4 FY24 release, 9/4/2024) / FY24 10-K</t>
        </is>
      </c>
      <c r="F184" s="916" t="inlineStr">
        <is>
          <t>Not used (buybacks in row 120)</t>
        </is>
      </c>
      <c r="G184" s="916" t="inlineStr">
        <is>
          <t>https://www.sec.gov/Archives/edgar/data/900075/000090007524000019/cprt07312024ex99-1.htm</t>
        </is>
      </c>
    </row>
    <row r="185">
      <c r="B185" s="916" t="inlineStr">
        <is>
          <t>Hist!I121 Share Buybacks</t>
        </is>
      </c>
      <c r="C185" s="916" t="n">
        <v>0</v>
      </c>
      <c r="D185" s="916" t="inlineStr">
        <is>
          <t>FY2025</t>
        </is>
      </c>
      <c r="E185" s="916" t="inlineStr">
        <is>
          <t>8-K Ex.99.1 (Q4 FY26 release, 9/10/2026, prior-year column) / FY26 10-K</t>
        </is>
      </c>
      <c r="F185" s="916" t="inlineStr">
        <is>
          <t>Not used (buybacks in row 120)</t>
        </is>
      </c>
      <c r="G185" s="916" t="inlineStr">
        <is>
          <t>https://www.sec.gov/Archives/edgar/data/900075/000119312526387902/cprt-ex99_1.htm</t>
        </is>
      </c>
    </row>
    <row r="186">
      <c r="B186" s="916" t="inlineStr">
        <is>
          <t>Hist!J121 Share Buybacks</t>
        </is>
      </c>
      <c r="C186" s="916" t="n">
        <v>0</v>
      </c>
      <c r="D186" s="916" t="inlineStr">
        <is>
          <t>FY2026</t>
        </is>
      </c>
      <c r="E186" s="916" t="inlineStr">
        <is>
          <t>8-K Ex.99.1 (Q4 FY26 release, 9/10/2026) / FY26 10-K filed 9/28/2026</t>
        </is>
      </c>
      <c r="F186" s="916" t="inlineStr">
        <is>
          <t>Not used (buybacks in row 120)</t>
        </is>
      </c>
      <c r="G186" s="916" t="inlineStr">
        <is>
          <t>https://www.sec.gov/Archives/edgar/data/900075/000119312526387902/cprt-ex99_1.htm</t>
        </is>
      </c>
    </row>
    <row r="187">
      <c r="B187" s="916" t="inlineStr">
        <is>
          <t>Hist!G122 (Dividends)</t>
        </is>
      </c>
      <c r="C187" s="916" t="n">
        <v>0</v>
      </c>
      <c r="D187" s="916" t="inlineStr">
        <is>
          <t>FY2023</t>
        </is>
      </c>
      <c r="E187" s="916" t="inlineStr">
        <is>
          <t>8-K Ex.99.1 (Q4 FY23 release, 9/14/2023) / FY23 10-K</t>
        </is>
      </c>
      <c r="F187" s="916" t="inlineStr">
        <is>
          <t>No dividends</t>
        </is>
      </c>
      <c r="G187" s="916" t="inlineStr">
        <is>
          <t>https://www.sec.gov/Archives/edgar/data/900075/000090007523000027/cprt07312023ex99-1.htm</t>
        </is>
      </c>
    </row>
    <row r="188">
      <c r="B188" s="916" t="inlineStr">
        <is>
          <t>Hist!H122 (Dividends)</t>
        </is>
      </c>
      <c r="C188" s="916" t="n">
        <v>0</v>
      </c>
      <c r="D188" s="916" t="inlineStr">
        <is>
          <t>FY2024</t>
        </is>
      </c>
      <c r="E188" s="916" t="inlineStr">
        <is>
          <t>8-K Ex.99.1 (Q4 FY24 release, 9/4/2024) / FY24 10-K</t>
        </is>
      </c>
      <c r="F188" s="916" t="inlineStr">
        <is>
          <t>No dividends</t>
        </is>
      </c>
      <c r="G188" s="916" t="inlineStr">
        <is>
          <t>https://www.sec.gov/Archives/edgar/data/900075/000090007524000019/cprt07312024ex99-1.htm</t>
        </is>
      </c>
    </row>
    <row r="189">
      <c r="B189" s="916" t="inlineStr">
        <is>
          <t>Hist!I122 (Dividends)</t>
        </is>
      </c>
      <c r="C189" s="916" t="n">
        <v>0</v>
      </c>
      <c r="D189" s="916" t="inlineStr">
        <is>
          <t>FY2025</t>
        </is>
      </c>
      <c r="E189" s="916" t="inlineStr">
        <is>
          <t>8-K Ex.99.1 (Q4 FY26 release, 9/10/2026, prior-year column) / FY26 10-K</t>
        </is>
      </c>
      <c r="F189" s="916" t="inlineStr">
        <is>
          <t>No dividends</t>
        </is>
      </c>
      <c r="G189" s="916" t="inlineStr">
        <is>
          <t>https://www.sec.gov/Archives/edgar/data/900075/000119312526387902/cprt-ex99_1.htm</t>
        </is>
      </c>
    </row>
    <row r="190">
      <c r="B190" s="916" t="inlineStr">
        <is>
          <t>Hist!J122 (Dividends)</t>
        </is>
      </c>
      <c r="C190" s="916" t="n">
        <v>0</v>
      </c>
      <c r="D190" s="916" t="inlineStr">
        <is>
          <t>FY2026</t>
        </is>
      </c>
      <c r="E190" s="916" t="inlineStr">
        <is>
          <t>8-K Ex.99.1 (Q4 FY26 release, 9/10/2026) / FY26 10-K filed 9/28/2026</t>
        </is>
      </c>
      <c r="F190" s="916" t="inlineStr">
        <is>
          <t>No dividends</t>
        </is>
      </c>
      <c r="G190" s="916" t="inlineStr">
        <is>
          <t>https://www.sec.gov/Archives/edgar/data/900075/000119312526387902/cprt-ex99_1.htm</t>
        </is>
      </c>
    </row>
    <row r="191">
      <c r="B191" s="916" t="inlineStr">
        <is>
          <t>FM!G10 FY22 revenue for growth</t>
        </is>
      </c>
      <c r="C191" s="916" t="n">
        <v>3500.921</v>
      </c>
      <c r="D191" s="916" t="inlineStr">
        <is>
          <t>FY2022</t>
        </is>
      </c>
      <c r="E191" s="916" t="inlineStr">
        <is>
          <t>Q4 FY23 release</t>
        </is>
      </c>
      <c r="F191" s="916" t="inlineStr">
        <is>
          <t>Total service revenues and vehicle sales</t>
        </is>
      </c>
      <c r="G191" s="916" t="inlineStr">
        <is>
          <t>https://www.sec.gov/Archives/edgar/data/900075/000090007523000027/cprt07312023ex99-1.htm</t>
        </is>
      </c>
    </row>
    <row r="192">
      <c r="B192" s="916" t="inlineStr">
        <is>
          <t>FM!G102 other non-cash</t>
        </is>
      </c>
      <c r="C192" s="916" t="inlineStr">
        <is>
          <t>1.946+5.347-1.846+9.946</t>
        </is>
      </c>
      <c r="D192" s="916" t="inlineStr">
        <is>
          <t>FY2023</t>
        </is>
      </c>
      <c r="E192" s="916" t="inlineStr">
        <is>
          <t>8-K Ex.99.1 (Q4 FY23 release, 9/14/2023) / FY23 10-K</t>
        </is>
      </c>
      <c r="F192" s="916" t="inlineStr">
        <is>
          <t>CFS: allowance for credit losses, equity in losses of affiliates, (gain)/loss on PP&amp;E, gain on extinguishment, deferred taxes</t>
        </is>
      </c>
      <c r="G192" s="916" t="inlineStr">
        <is>
          <t>https://www.sec.gov/Archives/edgar/data/900075/000090007523000027/cprt07312023ex99-1.htm</t>
        </is>
      </c>
    </row>
    <row r="193">
      <c r="B193" s="916" t="inlineStr">
        <is>
          <t>FM!H102 other non-cash</t>
        </is>
      </c>
      <c r="C193" s="916" t="inlineStr">
        <is>
          <t>3.914-4.058+2.241-2.386-0.847</t>
        </is>
      </c>
      <c r="D193" s="916" t="inlineStr">
        <is>
          <t>FY2024</t>
        </is>
      </c>
      <c r="E193" s="916" t="inlineStr">
        <is>
          <t>8-K Ex.99.1 (Q4 FY24 release, 9/4/2024) / FY24 10-K</t>
        </is>
      </c>
      <c r="F193" s="916" t="inlineStr">
        <is>
          <t>CFS: allowance for credit losses, equity in losses of affiliates, (gain)/loss on PP&amp;E, gain on extinguishment, deferred taxes</t>
        </is>
      </c>
      <c r="G193" s="916" t="inlineStr">
        <is>
          <t>https://www.sec.gov/Archives/edgar/data/900075/000090007524000019/cprt07312024ex99-1.htm</t>
        </is>
      </c>
    </row>
    <row r="194">
      <c r="B194" s="916" t="inlineStr">
        <is>
          <t>FM!I102 other non-cash</t>
        </is>
      </c>
      <c r="C194" s="916" t="inlineStr">
        <is>
          <t>0.354-0.149-13.726-13.44</t>
        </is>
      </c>
      <c r="D194" s="916" t="inlineStr">
        <is>
          <t>FY2025</t>
        </is>
      </c>
      <c r="E194" s="916" t="inlineStr">
        <is>
          <t>8-K Ex.99.1 (Q4 FY26 release, 9/10/2026, prior-year column) / FY26 10-K</t>
        </is>
      </c>
      <c r="F194" s="916" t="inlineStr">
        <is>
          <t>CFS: allowance for credit losses, equity in losses of affiliates, (gain)/loss on PP&amp;E, gain on extinguishment, deferred taxes</t>
        </is>
      </c>
      <c r="G194" s="916" t="inlineStr">
        <is>
          <t>https://www.sec.gov/Archives/edgar/data/900075/000119312526387902/cprt-ex99_1.htm</t>
        </is>
      </c>
    </row>
    <row r="195">
      <c r="B195" s="916" t="inlineStr">
        <is>
          <t>FM!J102 other non-cash</t>
        </is>
      </c>
      <c r="C195" s="916" t="inlineStr">
        <is>
          <t>5.599+0.326+1.13+47.359</t>
        </is>
      </c>
      <c r="D195" s="916" t="inlineStr">
        <is>
          <t>FY2026</t>
        </is>
      </c>
      <c r="E195" s="916" t="inlineStr">
        <is>
          <t>8-K Ex.99.1 (Q4 FY26 release, 9/10/2026) / FY26 10-K filed 9/28/2026</t>
        </is>
      </c>
      <c r="F195" s="916" t="inlineStr">
        <is>
          <t>CFS: allowance for credit losses, equity in losses of affiliates, (gain)/loss on PP&amp;E, gain on extinguishment, deferred taxes</t>
        </is>
      </c>
      <c r="G195" s="916" t="inlineStr">
        <is>
          <t>https://www.sec.gov/Archives/edgar/data/900075/000119312526387902/cprt-ex99_1.htm</t>
        </is>
      </c>
    </row>
    <row r="196">
      <c r="B196" s="916" t="inlineStr">
        <is>
          <t>FM!G105:G135 FY23 changes use July 31, 2022 balance sheet</t>
        </is>
      </c>
      <c r="C196" s="916" t="inlineStr">
        <is>
          <t>see formulas</t>
        </is>
      </c>
      <c r="D196" s="916" t="inlineStr">
        <is>
          <t>FY2022</t>
        </is>
      </c>
      <c r="E196" s="916" t="inlineStr">
        <is>
          <t>Q4 FY23 release (prior-year column)</t>
        </is>
      </c>
      <c r="F196" s="916" t="inlineStr">
        <is>
          <t>Balance sheet at July 31, 2022</t>
        </is>
      </c>
      <c r="G196" s="916" t="inlineStr">
        <is>
          <t>https://www.sec.gov/Archives/edgar/data/900075/000090007523000027/cprt07312023ex99-1.htm</t>
        </is>
      </c>
    </row>
    <row r="197">
      <c r="B197" s="916" t="inlineStr">
        <is>
          <t>Drivers!G15 FY22 vehicle sales</t>
        </is>
      </c>
      <c r="C197" s="916" t="n">
        <v>647.881</v>
      </c>
      <c r="D197" s="916" t="inlineStr">
        <is>
          <t>FY2022</t>
        </is>
      </c>
      <c r="E197" s="916" t="inlineStr">
        <is>
          <t>Q4 FY23 release</t>
        </is>
      </c>
      <c r="F197" s="916" t="inlineStr">
        <is>
          <t>Vehicle sales</t>
        </is>
      </c>
      <c r="G197" s="916" t="inlineStr">
        <is>
          <t>https://www.sec.gov/Archives/edgar/data/900075/000090007523000027/cprt07312023ex99-1.htm</t>
        </is>
      </c>
    </row>
    <row r="198">
      <c r="B198" s="916" t="inlineStr">
        <is>
          <t>D!H192</t>
        </is>
      </c>
      <c r="C198" s="916" t="n">
        <v>0.1</v>
      </c>
      <c r="D198" s="916" t="inlineStr">
        <is>
          <t>FY2024</t>
        </is>
      </c>
      <c r="E198" s="916" t="inlineStr">
        <is>
          <t>Earnings call / release</t>
        </is>
      </c>
      <c r="F198" s="916" t="inlineStr">
        <is>
          <t>"global unit sales increased nearly 10%"</t>
        </is>
      </c>
      <c r="G198" s="916" t="inlineStr">
        <is>
          <t>https://www.roic.ai/quote/CPRT/transcripts/2024-year/4-quarter</t>
        </is>
      </c>
    </row>
    <row r="199">
      <c r="B199" s="916" t="inlineStr">
        <is>
          <t>D!I192</t>
        </is>
      </c>
      <c r="C199" s="916" t="n">
        <v>0.048</v>
      </c>
      <c r="D199" s="916" t="inlineStr">
        <is>
          <t>FY2025</t>
        </is>
      </c>
      <c r="E199" s="916" t="inlineStr">
        <is>
          <t>Earnings call / release</t>
        </is>
      </c>
      <c r="F199" s="916" t="inlineStr">
        <is>
          <t>global unit sales +4.8%</t>
        </is>
      </c>
      <c r="G199" s="916" t="inlineStr">
        <is>
          <t>https://www.roic.ai/quote/CPRT/transcripts/2025-year/4-quarter</t>
        </is>
      </c>
    </row>
    <row r="200">
      <c r="B200" s="916" t="inlineStr">
        <is>
          <t>D!J192..J196</t>
        </is>
      </c>
      <c r="C200" s="916" t="inlineStr">
        <is>
          <t>-5.5% global; -6.9% US; -8.0% US insurance; -3.9% US non-insurance; +3.7% international</t>
        </is>
      </c>
      <c r="D200" s="916" t="inlineStr">
        <is>
          <t>FY2026</t>
        </is>
      </c>
      <c r="E200" s="916" t="inlineStr">
        <is>
          <t>Earnings call / release</t>
        </is>
      </c>
      <c r="F200" s="916" t="inlineStr">
        <is>
          <t>Q4 FY26 call, CFO remarks</t>
        </is>
      </c>
      <c r="G200" s="916" t="inlineStr">
        <is>
          <t>https://www.fool.com/earnings/call-transcripts/2026/09/11/copart-cprt-q4-2026-earnings-call-transcript/</t>
        </is>
      </c>
    </row>
    <row r="201">
      <c r="B201" s="916" t="inlineStr">
        <is>
          <t>D!J214</t>
        </is>
      </c>
      <c r="C201" s="916" t="n">
        <v>932.14</v>
      </c>
      <c r="D201" s="916" t="inlineStr">
        <is>
          <t>Q4 FY2026</t>
        </is>
      </c>
      <c r="E201" s="916" t="inlineStr">
        <is>
          <t>Earnings call / release</t>
        </is>
      </c>
      <c r="F201" s="916" t="inlineStr">
        <is>
          <t>Diluted weighted average common shares outstanding (three months)</t>
        </is>
      </c>
      <c r="G201" s="916" t="inlineStr">
        <is>
          <t>https://www.sec.gov/Archives/edgar/data/900075/000119312526387902/cprt-ex99_1.htm</t>
        </is>
      </c>
    </row>
    <row r="202">
      <c r="B202" s="916" t="inlineStr">
        <is>
          <t>D!G215:J215</t>
        </is>
      </c>
      <c r="C202" s="916" t="inlineStr">
        <is>
          <t>966.647 / 974.798 / 977.563 / 956.860</t>
        </is>
      </c>
      <c r="D202" s="916" t="inlineStr">
        <is>
          <t>FY23-FY26</t>
        </is>
      </c>
      <c r="E202" s="916" t="inlineStr">
        <is>
          <t>Earnings call / release</t>
        </is>
      </c>
      <c r="F202" s="916" t="inlineStr">
        <is>
          <t>Diluted weighted average common shares outstanding</t>
        </is>
      </c>
      <c r="G202" s="916" t="inlineStr">
        <is>
          <t>https://www.sec.gov/Archives/edgar/data/900075/000119312526387902/cprt-ex99_1.htm</t>
        </is>
      </c>
    </row>
    <row r="203">
      <c r="B203" s="916" t="inlineStr">
        <is>
          <t>DCF!P36 risk-free</t>
        </is>
      </c>
      <c r="C203" s="916" t="n">
        <v>0.0529</v>
      </c>
      <c r="D203" s="916" t="inlineStr">
        <is>
          <t>9/30/2026</t>
        </is>
      </c>
      <c r="E203" s="916" t="inlineStr">
        <is>
          <t>FRED DGS10</t>
        </is>
      </c>
      <c r="F203" s="916" t="inlineStr">
        <is>
          <t>10-Year Treasury constant maturity</t>
        </is>
      </c>
      <c r="G203" s="916" t="inlineStr">
        <is>
          <t>https://fred.stlouisfed.org/series/dgs10</t>
        </is>
      </c>
    </row>
    <row r="204">
      <c r="B204" s="916" t="inlineStr">
        <is>
          <t>DCF!P34 ERP</t>
        </is>
      </c>
      <c r="C204" s="916" t="n">
        <v>0.0423</v>
      </c>
      <c r="D204" s="916" t="inlineStr">
        <is>
          <t>Jan 2026</t>
        </is>
      </c>
      <c r="E204" s="916" t="inlineStr">
        <is>
          <t>Damodaran</t>
        </is>
      </c>
      <c r="F204" s="916" t="inlineStr">
        <is>
          <t>Implied ERP, start of 2026</t>
        </is>
      </c>
      <c r="G204" s="916" t="inlineStr">
        <is>
          <t>https://pages.stern.nyu.edu/~adamodar/New_Home_Page/datafile/histimpl.html</t>
        </is>
      </c>
    </row>
    <row r="205">
      <c r="B205" s="916" t="inlineStr">
        <is>
          <t>DCF!P47 cost of debt</t>
        </is>
      </c>
      <c r="C205" s="916" t="n">
        <v>0.0597</v>
      </c>
      <c r="D205" s="916" t="inlineStr">
        <is>
          <t>9/29/2026</t>
        </is>
      </c>
      <c r="E205" s="916" t="inlineStr">
        <is>
          <t>FRED BAMLC0A0CMEY</t>
        </is>
      </c>
      <c r="F205" s="916" t="inlineStr">
        <is>
          <t>ICE BofA US Corporate Index Effective Yield</t>
        </is>
      </c>
      <c r="G205" s="916" t="inlineStr">
        <is>
          <t>https://fred.stlouisfed.org/series/BAMLC0A0CMEY</t>
        </is>
      </c>
    </row>
    <row r="206">
      <c r="B206" s="916" t="inlineStr">
        <is>
          <t>Model Notes 3-4; Drivers V22, V204, V205 margin facts</t>
        </is>
      </c>
      <c r="C206" s="916" t="inlineStr">
        <is>
          <t>Q4 op income 368.9 (-10.6%); US facility cost +7.7%, +14.2% per unit; US units -5.7%; long-haul delivery 17</t>
        </is>
      </c>
      <c r="D206" s="916" t="inlineStr">
        <is>
          <t>Q4 FY26</t>
        </is>
      </c>
      <c r="E206" s="916" t="inlineStr">
        <is>
          <t>Q4 FY26 earnings call transcript</t>
        </is>
      </c>
      <c r="F206" s="916" t="inlineStr">
        <is>
          <t>CFO prepared remarks and Q&amp;A (cost per car; no cost or margin guidance)</t>
        </is>
      </c>
      <c r="G206" s="916" t="inlineStr">
        <is>
          <t>https://www.fool.com/earnings/call-transcripts/2026/09/11/copart-cprt-q4-2026-earnings-call-transcript/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Nick Contreras</dc:creator>
  <dcterms:created xmlns:dcterms="http://purl.org/dc/terms/" xmlns:xsi="http://www.w3.org/2001/XMLSchema-instance" xsi:type="dcterms:W3CDTF">2021-11-10T05:28:37Z</dcterms:created>
  <dcterms:modified xmlns:dcterms="http://purl.org/dc/terms/" xmlns:xsi="http://www.w3.org/2001/XMLSchema-instance" xsi:type="dcterms:W3CDTF">2026-10-03T00:15:27Z</dcterms:modified>
  <cp:lastModifiedBy>Nick Contreras</cp:lastModifiedBy>
  <cp:lastPrinted>2023-08-31T04:45:08Z</cp:lastPrinted>
</cp:coreProperties>
</file>